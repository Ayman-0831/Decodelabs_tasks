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 Data Analytics Decodelabs\"/>
    </mc:Choice>
  </mc:AlternateContent>
  <xr:revisionPtr revIDLastSave="0" documentId="13_ncr:1_{F675D179-E063-4EB5-A746-A1C4F4E8D7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ean Data" sheetId="2" r:id="rId1"/>
    <sheet name="Original Data" sheetId="1" r:id="rId2"/>
    <sheet name="EDA Analysis" sheetId="3" r:id="rId3"/>
    <sheet name="Pivot Table" sheetId="4" r:id="rId4"/>
  </sheets>
  <calcPr calcId="191029"/>
  <pivotCaches>
    <pivotCache cacheId="3" r:id="rId5"/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G15" i="3"/>
  <c r="G14" i="3"/>
  <c r="G13" i="3"/>
  <c r="G12" i="3"/>
  <c r="G11" i="3"/>
  <c r="E17" i="3"/>
  <c r="E15" i="3"/>
  <c r="E14" i="3"/>
  <c r="E13" i="3"/>
  <c r="E12" i="3"/>
  <c r="B12" i="3"/>
  <c r="E11" i="3"/>
  <c r="B11" i="3"/>
  <c r="B17" i="3"/>
  <c r="D7" i="3"/>
  <c r="D6" i="3"/>
  <c r="D5" i="3"/>
  <c r="D4" i="3"/>
  <c r="C7" i="3"/>
  <c r="C6" i="3"/>
  <c r="C5" i="3"/>
  <c r="C4" i="3"/>
  <c r="B7" i="3"/>
  <c r="B6" i="3"/>
  <c r="B5" i="3"/>
  <c r="B4" i="3"/>
  <c r="B13" i="3" l="1"/>
  <c r="B15" i="3" s="1"/>
  <c r="B14" i="3" l="1"/>
</calcChain>
</file>

<file path=xl/sharedStrings.xml><?xml version="1.0" encoding="utf-8"?>
<sst xmlns="http://schemas.openxmlformats.org/spreadsheetml/2006/main" count="21393" uniqueCount="4330">
  <si>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</si>
  <si>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</si>
  <si>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</si>
  <si>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</si>
  <si>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</si>
  <si>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</si>
  <si>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</si>
  <si>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</si>
  <si>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</si>
  <si>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</si>
  <si>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</si>
  <si>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</si>
  <si>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</si>
  <si>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</si>
  <si>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</si>
  <si>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</si>
  <si>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</si>
  <si>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</si>
  <si>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</si>
  <si>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</si>
  <si>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</si>
  <si>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</si>
  <si>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</si>
  <si>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</si>
  <si>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</si>
  <si>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</si>
  <si>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</si>
  <si>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</si>
  <si>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</si>
  <si>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</si>
  <si>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</si>
  <si>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</si>
  <si>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</si>
  <si>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</si>
  <si>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</si>
  <si>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</si>
  <si>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</si>
  <si>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</si>
  <si>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</si>
  <si>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</si>
  <si>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</si>
  <si>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</si>
  <si>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</si>
  <si>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</si>
  <si>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</si>
  <si>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</si>
  <si>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</si>
  <si>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</si>
  <si>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</si>
  <si>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</si>
  <si>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</si>
  <si>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</si>
  <si>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</si>
  <si>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</si>
  <si>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</si>
  <si>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</si>
  <si>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</si>
  <si>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</si>
  <si>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</si>
  <si>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</si>
  <si>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</si>
  <si>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</si>
  <si>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</si>
  <si>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</si>
  <si>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</si>
  <si>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</si>
  <si>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</si>
  <si>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</si>
  <si>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</si>
  <si>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</si>
  <si>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</si>
  <si>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</si>
  <si>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</si>
  <si>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</si>
  <si>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</si>
  <si>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</si>
  <si>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</si>
  <si>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</si>
  <si>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</si>
  <si>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</si>
  <si>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</si>
  <si>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</si>
  <si>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</si>
  <si>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</si>
  <si>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</si>
  <si>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</si>
  <si>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</si>
  <si>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</si>
  <si>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</si>
  <si>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</si>
  <si>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</si>
  <si>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</si>
  <si>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</si>
  <si>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</si>
  <si>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</si>
  <si>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</si>
  <si>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</si>
  <si>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</si>
  <si>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</si>
  <si>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</si>
  <si>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</si>
  <si>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</si>
  <si>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</si>
  <si>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</si>
  <si>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</si>
  <si>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</si>
  <si>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</si>
  <si>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</si>
  <si>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</si>
  <si>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</si>
  <si>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</si>
  <si>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</si>
  <si>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</si>
  <si>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</si>
  <si>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</si>
  <si>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</si>
  <si>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</si>
  <si>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</si>
  <si>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</si>
  <si>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</si>
  <si>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</si>
  <si>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</si>
  <si>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</si>
  <si>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</si>
  <si>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</si>
  <si>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</si>
  <si>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</si>
  <si>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</si>
  <si>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</si>
  <si>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</si>
  <si>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</si>
  <si>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</si>
  <si>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</si>
  <si>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</si>
  <si>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</si>
  <si>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</si>
  <si>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</si>
  <si>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</si>
  <si>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</si>
  <si>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</si>
  <si>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</si>
  <si>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</si>
  <si>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</si>
  <si>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</si>
  <si>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</si>
  <si>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</si>
  <si>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</si>
  <si>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</si>
  <si>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</si>
  <si>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</si>
  <si>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</si>
  <si>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</si>
  <si>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</si>
  <si>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</si>
  <si>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</si>
  <si>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</si>
  <si>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</si>
  <si>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</si>
  <si>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</si>
  <si>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</si>
  <si>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</si>
  <si>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</si>
  <si>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</si>
  <si>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</si>
  <si>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</si>
  <si>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</si>
  <si>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</si>
  <si>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</si>
  <si>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</si>
  <si>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</si>
  <si>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</si>
  <si>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</si>
  <si>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</si>
  <si>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</si>
  <si>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</si>
  <si>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</si>
  <si>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</si>
  <si>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</si>
  <si>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</si>
  <si>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</si>
  <si>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</si>
  <si>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</si>
  <si>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</si>
  <si>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</si>
  <si>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</si>
  <si>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</si>
  <si>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</si>
  <si>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</si>
  <si>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</si>
  <si>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</si>
  <si>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</si>
  <si>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</si>
  <si>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</si>
  <si>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</si>
  <si>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</si>
  <si>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</si>
  <si>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</si>
  <si>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</si>
  <si>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</si>
  <si>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</si>
  <si>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</si>
  <si>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</si>
  <si>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</si>
  <si>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</si>
  <si>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</si>
  <si>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</si>
  <si>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</si>
  <si>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</si>
  <si>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</si>
  <si>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</si>
  <si>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</si>
  <si>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</si>
  <si>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</si>
  <si>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</si>
  <si>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</si>
  <si>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</si>
  <si>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</si>
  <si>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</si>
  <si>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</si>
  <si>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</si>
  <si>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</si>
  <si>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</si>
  <si>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</si>
  <si>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</si>
  <si>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</si>
  <si>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</si>
  <si>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</si>
  <si>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</si>
  <si>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</si>
  <si>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</si>
  <si>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</si>
  <si>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</si>
  <si>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</si>
  <si>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</si>
  <si>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</si>
  <si>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</si>
  <si>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</si>
  <si>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</si>
  <si>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</si>
  <si>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</si>
  <si>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</si>
  <si>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</si>
  <si>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</si>
  <si>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</si>
  <si>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</si>
  <si>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</si>
  <si>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</si>
  <si>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</si>
  <si>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</si>
  <si>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</si>
  <si>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</si>
  <si>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</si>
  <si>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</si>
  <si>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</si>
  <si>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</si>
  <si>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</si>
  <si>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</si>
  <si>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</si>
  <si>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</si>
  <si>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</si>
  <si>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</si>
  <si>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</si>
  <si>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</si>
  <si>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</si>
  <si>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</si>
  <si>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</si>
  <si>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</si>
  <si>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</si>
  <si>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</si>
  <si>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</si>
  <si>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</si>
  <si>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</si>
  <si>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</si>
  <si>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</si>
  <si>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</si>
  <si>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</si>
  <si>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</si>
  <si>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</si>
  <si>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</si>
  <si>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</si>
  <si>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</si>
  <si>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</si>
  <si>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</si>
  <si>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</si>
  <si>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</si>
  <si>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</si>
  <si>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</si>
  <si>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</si>
  <si>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</si>
  <si>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</si>
  <si>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</si>
  <si>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</si>
  <si>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</si>
  <si>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</si>
  <si>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</si>
  <si>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</si>
  <si>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</si>
  <si>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</si>
  <si>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</si>
  <si>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</si>
  <si>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</si>
  <si>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</si>
  <si>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</si>
  <si>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</si>
  <si>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</si>
  <si>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</si>
  <si>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</si>
  <si>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</si>
  <si>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</si>
  <si>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</si>
  <si>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</si>
  <si>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</si>
  <si>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</si>
  <si>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</si>
  <si>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</si>
  <si>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</si>
  <si>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</si>
  <si>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</si>
  <si>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</si>
  <si>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</si>
  <si>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</si>
  <si>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</si>
  <si>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</si>
  <si>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</si>
  <si>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</si>
  <si>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</si>
  <si>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</si>
  <si>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</si>
  <si>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</si>
  <si>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</si>
  <si>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</si>
  <si>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</si>
  <si>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</si>
  <si>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</si>
  <si>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</si>
  <si>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</si>
  <si>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</si>
  <si>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</si>
  <si>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</si>
  <si>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</si>
  <si>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</si>
  <si>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</si>
  <si>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</si>
  <si>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</si>
  <si>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</si>
  <si>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</si>
  <si>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</si>
  <si>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</si>
  <si>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</si>
  <si>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</si>
  <si>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</si>
  <si>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</si>
  <si>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</si>
  <si>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</si>
  <si>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</si>
  <si>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</si>
  <si>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</si>
  <si>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</si>
  <si>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</si>
  <si>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</si>
  <si>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</si>
  <si>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</si>
  <si>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</si>
  <si>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</si>
  <si>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</si>
  <si>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</si>
  <si>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</si>
  <si>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</si>
  <si>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</si>
  <si>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</si>
  <si>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</si>
  <si>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</si>
  <si>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</si>
  <si>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</si>
  <si>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</si>
  <si>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</si>
  <si>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</si>
  <si>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</si>
  <si>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</si>
  <si>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</si>
  <si>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</si>
  <si>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</si>
  <si>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</si>
  <si>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</si>
  <si>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</si>
  <si>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</si>
  <si>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</si>
  <si>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</si>
  <si>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</si>
  <si>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</si>
  <si>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</si>
  <si>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</si>
  <si>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</si>
  <si>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</si>
  <si>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</si>
  <si>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</si>
  <si>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</si>
  <si>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</si>
  <si>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</si>
  <si>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</si>
  <si>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</si>
  <si>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</si>
  <si>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</si>
  <si>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</si>
  <si>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</si>
  <si>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</si>
  <si>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</si>
  <si>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</si>
  <si>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</si>
  <si>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</si>
  <si>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</si>
  <si>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</si>
  <si>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</si>
  <si>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</si>
  <si>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</si>
  <si>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</si>
  <si>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</si>
  <si>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</si>
  <si>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</si>
  <si>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</si>
  <si>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</si>
  <si>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</si>
  <si>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</si>
  <si>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</si>
  <si>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</si>
  <si>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</si>
  <si>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</si>
  <si>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</si>
  <si>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</si>
  <si>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</si>
  <si>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</si>
  <si>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</si>
  <si>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</si>
  <si>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</si>
  <si>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</si>
  <si>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</si>
  <si>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</si>
  <si>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</si>
  <si>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</si>
  <si>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</si>
  <si>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</si>
  <si>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</si>
  <si>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</si>
  <si>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</si>
  <si>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</si>
  <si>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</si>
  <si>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</si>
  <si>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</si>
  <si>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</si>
  <si>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</si>
  <si>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</si>
  <si>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</si>
  <si>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</si>
  <si>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</si>
  <si>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</si>
  <si>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</si>
  <si>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</si>
  <si>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</si>
  <si>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</si>
  <si>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</si>
  <si>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</si>
  <si>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</si>
  <si>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</si>
  <si>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</si>
  <si>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</si>
  <si>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</si>
  <si>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</si>
  <si>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</si>
  <si>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</si>
  <si>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</si>
  <si>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</si>
  <si>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</si>
  <si>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</si>
  <si>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</si>
  <si>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</si>
  <si>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</si>
  <si>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</si>
  <si>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</si>
  <si>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</si>
  <si>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</si>
  <si>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</si>
  <si>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</si>
  <si>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</si>
  <si>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</si>
  <si>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</si>
  <si>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</si>
  <si>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</si>
  <si>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</si>
  <si>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</si>
  <si>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</si>
  <si>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</si>
  <si>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</si>
  <si>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</si>
  <si>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</si>
  <si>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</si>
  <si>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</si>
  <si>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</si>
  <si>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</si>
  <si>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</si>
  <si>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</si>
  <si>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</si>
  <si>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</si>
  <si>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</si>
  <si>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</si>
  <si>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</si>
  <si>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</si>
  <si>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</si>
  <si>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</si>
  <si>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</si>
  <si>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</si>
  <si>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</si>
  <si>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</si>
  <si>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</si>
  <si>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</si>
  <si>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</si>
  <si>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</si>
  <si>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</si>
  <si>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</si>
  <si>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</si>
  <si>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</si>
  <si>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</si>
  <si>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</si>
  <si>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</si>
  <si>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</si>
  <si>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</si>
  <si>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</si>
  <si>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</si>
  <si>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</si>
  <si>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</si>
  <si>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</si>
  <si>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</si>
  <si>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</si>
  <si>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</si>
  <si>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</si>
  <si>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</si>
  <si>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</si>
  <si>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</si>
  <si>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</si>
  <si>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</si>
  <si>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</si>
  <si>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</si>
  <si>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</si>
  <si>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</si>
  <si>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</si>
  <si>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</si>
  <si>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</si>
  <si>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</si>
  <si>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</si>
  <si>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</si>
  <si>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</si>
  <si>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</si>
  <si>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</si>
  <si>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</si>
  <si>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</si>
  <si>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</si>
  <si>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</si>
  <si>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</si>
  <si>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</si>
  <si>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</si>
  <si>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</si>
  <si>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</si>
  <si>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</si>
  <si>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</si>
  <si>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</si>
  <si>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</si>
  <si>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</si>
  <si>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</si>
  <si>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</si>
  <si>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</si>
  <si>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</si>
  <si>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</si>
  <si>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</si>
  <si>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</si>
  <si>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</si>
  <si>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</si>
  <si>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</si>
  <si>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</si>
  <si>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</si>
  <si>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</si>
  <si>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</si>
  <si>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</si>
  <si>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</si>
  <si>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</si>
  <si>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</si>
  <si>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</si>
  <si>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</si>
  <si>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</si>
  <si>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</si>
  <si>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</si>
  <si>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</si>
  <si>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</si>
  <si>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</si>
  <si>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</si>
  <si>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</si>
  <si>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</si>
  <si>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</si>
  <si>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</si>
  <si>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</si>
  <si>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</si>
  <si>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</si>
  <si>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</si>
  <si>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</si>
  <si>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</si>
  <si>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</si>
  <si>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</si>
  <si>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</si>
  <si>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</si>
  <si>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</si>
  <si>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</si>
  <si>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</si>
  <si>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</si>
  <si>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</si>
  <si>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</si>
  <si>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</si>
  <si>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</si>
  <si>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</si>
  <si>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</si>
  <si>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</si>
  <si>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</si>
  <si>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</si>
  <si>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</si>
  <si>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</si>
  <si>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</si>
  <si>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</si>
  <si>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</si>
  <si>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</si>
  <si>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</si>
  <si>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</si>
  <si>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</si>
  <si>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</si>
  <si>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</si>
  <si>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</si>
  <si>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</si>
  <si>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</si>
  <si>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</si>
  <si>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</si>
  <si>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</si>
  <si>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</si>
  <si>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</si>
  <si>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</si>
  <si>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</si>
  <si>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</si>
  <si>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</si>
  <si>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</si>
  <si>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</si>
  <si>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</si>
  <si>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</si>
  <si>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</si>
  <si>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</si>
  <si>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</si>
  <si>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</si>
  <si>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</si>
  <si>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</si>
  <si>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</si>
  <si>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</si>
  <si>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</si>
  <si>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</si>
  <si>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</si>
  <si>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</si>
  <si>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</si>
  <si>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</si>
  <si>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</si>
  <si>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</si>
  <si>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</si>
  <si>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</si>
  <si>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</si>
  <si>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</si>
  <si>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</si>
  <si>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</si>
  <si>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</si>
  <si>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</si>
  <si>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</si>
  <si>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</si>
  <si>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</si>
  <si>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</si>
  <si>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</si>
  <si>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</si>
  <si>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</si>
  <si>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</si>
  <si>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</si>
  <si>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</si>
  <si>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</si>
  <si>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</si>
  <si>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</si>
  <si>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</si>
  <si>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</si>
  <si>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</si>
  <si>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</si>
  <si>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</si>
  <si>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</si>
  <si>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</si>
  <si>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</si>
  <si>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</si>
  <si>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</si>
  <si>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</si>
  <si>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</si>
  <si>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</si>
  <si>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</si>
  <si>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</si>
  <si>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</si>
  <si>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</si>
  <si>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</si>
  <si>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</si>
  <si>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</si>
  <si>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</si>
  <si>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</si>
  <si>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</si>
  <si>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</si>
  <si>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</si>
  <si>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</si>
  <si>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</si>
  <si>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</si>
  <si>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</si>
  <si>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</si>
  <si>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</si>
  <si>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</si>
  <si>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</si>
  <si>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</si>
  <si>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</si>
  <si>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</si>
  <si>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</si>
  <si>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</si>
  <si>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</si>
  <si>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</si>
  <si>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</si>
  <si>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</si>
  <si>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</si>
  <si>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</si>
  <si>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</si>
  <si>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</si>
  <si>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</si>
  <si>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</si>
  <si>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</si>
  <si>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</si>
  <si>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</si>
  <si>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</si>
  <si>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</si>
  <si>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</si>
  <si>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</si>
  <si>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</si>
  <si>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</si>
  <si>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</si>
  <si>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</si>
  <si>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</si>
  <si>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</si>
  <si>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</si>
  <si>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</si>
  <si>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</si>
  <si>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</si>
  <si>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</si>
  <si>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</si>
  <si>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</si>
  <si>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</si>
  <si>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</si>
  <si>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</si>
  <si>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</si>
  <si>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</si>
  <si>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</si>
  <si>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</si>
  <si>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</si>
  <si>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</si>
  <si>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</si>
  <si>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</si>
  <si>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</si>
  <si>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</si>
  <si>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</si>
  <si>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</si>
  <si>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</si>
  <si>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</si>
  <si>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</si>
  <si>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</si>
  <si>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</si>
  <si>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</si>
  <si>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</si>
  <si>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</si>
  <si>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</si>
  <si>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</si>
  <si>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</si>
  <si>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</si>
  <si>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</si>
  <si>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</si>
  <si>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</si>
  <si>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</si>
  <si>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</si>
  <si>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</si>
  <si>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</si>
  <si>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</si>
  <si>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</si>
  <si>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</si>
  <si>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</si>
  <si>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</si>
  <si>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</si>
  <si>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</si>
  <si>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</si>
  <si>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</si>
  <si>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</si>
  <si>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</si>
  <si>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</si>
  <si>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</si>
  <si>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</si>
  <si>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</si>
  <si>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</si>
  <si>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</si>
  <si>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</si>
  <si>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</si>
  <si>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</si>
  <si>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</si>
  <si>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</si>
  <si>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</si>
  <si>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</si>
  <si>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</si>
  <si>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</si>
  <si>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</si>
  <si>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</si>
  <si>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</si>
  <si>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</si>
  <si>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</si>
  <si>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</si>
  <si>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</si>
  <si>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</si>
  <si>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</si>
  <si>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</si>
  <si>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</si>
  <si>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</si>
  <si>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</si>
  <si>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</si>
  <si>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</si>
  <si>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</si>
  <si>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</si>
  <si>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</si>
  <si>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</si>
  <si>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</si>
  <si>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</si>
  <si>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</si>
  <si>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</si>
  <si>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</si>
  <si>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</si>
  <si>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</si>
  <si>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</si>
  <si>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</si>
  <si>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</si>
  <si>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</si>
  <si>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</si>
  <si>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</si>
  <si>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</si>
  <si>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</si>
  <si>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</si>
  <si>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</si>
  <si>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</si>
  <si>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</si>
  <si>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</si>
  <si>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</si>
  <si>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</si>
  <si>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</si>
  <si>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</si>
  <si>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</si>
  <si>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</si>
  <si>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</si>
  <si>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</si>
  <si>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</si>
  <si>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</si>
  <si>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</si>
  <si>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</si>
  <si>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</si>
  <si>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</si>
  <si>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</si>
  <si>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</si>
  <si>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</si>
  <si>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</si>
  <si>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</si>
  <si>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</si>
  <si>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</si>
  <si>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</si>
  <si>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</si>
  <si>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</si>
  <si>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</si>
  <si>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</si>
  <si>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</si>
  <si>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</si>
  <si>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</si>
  <si>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</si>
  <si>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</si>
  <si>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</si>
  <si>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</si>
  <si>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</si>
  <si>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</si>
  <si>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</si>
  <si>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</si>
  <si>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</si>
  <si>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</si>
  <si>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</si>
  <si>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</si>
  <si>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</si>
  <si>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</si>
  <si>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</si>
  <si>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</si>
  <si>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</si>
  <si>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</si>
  <si>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</si>
  <si>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</si>
  <si>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</si>
  <si>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</si>
  <si>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</si>
  <si>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</si>
  <si>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</si>
  <si>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</si>
  <si>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</si>
  <si>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</si>
  <si>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</si>
  <si>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</si>
  <si>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</si>
  <si>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</si>
  <si>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</si>
  <si>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</si>
  <si>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</si>
  <si>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</si>
  <si>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</si>
  <si>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</si>
  <si>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</si>
  <si>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</si>
  <si>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</si>
  <si>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</si>
  <si>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</si>
  <si>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</si>
  <si>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</si>
  <si>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</si>
  <si>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</si>
  <si>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</si>
  <si>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</si>
  <si>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</si>
  <si>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</si>
  <si>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</si>
  <si>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</si>
  <si>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</si>
  <si>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</si>
  <si>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</si>
  <si>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</si>
  <si>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</si>
  <si>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</si>
  <si>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</si>
  <si>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</si>
  <si>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</si>
  <si>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</si>
  <si>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</si>
  <si>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</si>
  <si>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</si>
  <si>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</si>
  <si>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</si>
  <si>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</si>
  <si>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</si>
  <si>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</si>
  <si>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</si>
  <si>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</si>
  <si>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</si>
  <si>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</si>
  <si>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</si>
  <si>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</si>
  <si>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</si>
  <si>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</si>
  <si>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</si>
  <si>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</si>
  <si>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</si>
  <si>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</si>
  <si>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</si>
  <si>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</si>
  <si>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</si>
  <si>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</si>
  <si>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</si>
  <si>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</si>
  <si>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</si>
  <si>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</si>
  <si>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</si>
  <si>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</si>
  <si>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</si>
  <si>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</si>
  <si>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</si>
  <si>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</si>
  <si>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</si>
  <si>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</si>
  <si>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</si>
  <si>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</si>
  <si>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</si>
  <si>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</si>
  <si>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</si>
  <si>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</si>
  <si>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</si>
  <si>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</si>
  <si>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</si>
  <si>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</si>
  <si>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</si>
  <si>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</si>
  <si>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</si>
  <si>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</si>
  <si>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</si>
  <si>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</si>
  <si>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</si>
  <si>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</si>
  <si>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</si>
  <si>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</si>
  <si>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</si>
  <si>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</si>
  <si>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</si>
  <si>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</si>
  <si>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</si>
  <si>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</si>
  <si>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</si>
  <si>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</si>
  <si>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</si>
  <si>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</si>
  <si>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</si>
  <si>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</si>
  <si>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</si>
  <si>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</si>
  <si>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</si>
  <si>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</si>
  <si>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</si>
  <si>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</si>
  <si>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</si>
  <si>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</si>
  <si>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</si>
  <si>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</si>
  <si>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</si>
  <si>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</si>
  <si>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</si>
  <si>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</si>
  <si>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</si>
  <si>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</si>
  <si>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</si>
  <si>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</si>
  <si>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</si>
  <si>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</si>
  <si>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</si>
  <si>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</si>
  <si>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</si>
  <si>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</si>
  <si>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</si>
  <si>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</si>
  <si>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</si>
  <si>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</si>
  <si>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</si>
  <si>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</si>
  <si>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</si>
  <si>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</si>
  <si>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</si>
  <si>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</si>
  <si>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</si>
  <si>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</si>
  <si>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</si>
  <si>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</si>
  <si>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</si>
  <si>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</si>
  <si>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</si>
  <si>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</si>
  <si>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</si>
  <si>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</si>
  <si>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</si>
  <si>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</si>
  <si>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</si>
  <si>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</si>
  <si>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</si>
  <si>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</si>
  <si>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</si>
  <si>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</si>
  <si>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</si>
  <si>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</si>
  <si>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</si>
  <si>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</si>
  <si>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</si>
  <si>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</si>
  <si>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</si>
  <si>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</si>
  <si>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</si>
  <si>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</si>
  <si>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</si>
  <si>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</si>
  <si>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</si>
  <si>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</si>
  <si>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</si>
  <si>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</si>
  <si>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</si>
  <si>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</si>
  <si>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</si>
  <si>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</si>
  <si>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</si>
  <si>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</si>
  <si>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</si>
  <si>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</si>
  <si>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</si>
  <si>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</si>
  <si>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</si>
  <si>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</si>
  <si>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</si>
  <si>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</si>
  <si>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</si>
  <si>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</si>
  <si>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</si>
  <si>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</si>
  <si>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</si>
  <si>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</si>
  <si>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</si>
  <si>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</si>
  <si>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</si>
  <si>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</si>
  <si>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</si>
  <si>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</si>
  <si>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</si>
  <si>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</si>
  <si>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</si>
  <si>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</si>
  <si>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</si>
  <si>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</si>
  <si>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</si>
  <si>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</si>
  <si>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</si>
  <si>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</si>
  <si>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</si>
  <si>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</si>
  <si>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</si>
  <si>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</si>
  <si>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</si>
  <si>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</si>
  <si>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</si>
  <si>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</si>
  <si>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</si>
  <si>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</si>
  <si>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</si>
  <si>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</si>
  <si>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</si>
  <si>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</si>
  <si>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</si>
  <si>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</si>
  <si>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</si>
  <si>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</si>
  <si>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</si>
  <si>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</si>
  <si>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</si>
  <si>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</si>
  <si>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</si>
  <si>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</si>
  <si>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</si>
  <si>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</si>
  <si>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</si>
  <si>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</si>
  <si>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</si>
  <si>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</si>
  <si>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</si>
  <si>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</si>
  <si>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</si>
  <si>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</si>
  <si>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</si>
  <si>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</si>
  <si>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</si>
  <si>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</si>
  <si>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</si>
  <si>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</si>
  <si>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</si>
  <si>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</si>
  <si>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</si>
  <si>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</si>
  <si>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</si>
  <si>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</si>
  <si>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</si>
  <si>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</si>
  <si>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</si>
  <si>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</si>
  <si>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</si>
  <si>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</si>
  <si>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</si>
  <si>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</si>
  <si>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</si>
  <si>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</si>
  <si>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</si>
  <si>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</si>
  <si>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</si>
  <si>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</si>
  <si>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</si>
  <si>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</si>
  <si>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</si>
  <si>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</si>
  <si>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</si>
  <si>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</si>
  <si>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</si>
  <si>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</si>
  <si>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</si>
  <si>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</si>
  <si>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</si>
  <si>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</si>
  <si>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</si>
  <si>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</si>
  <si>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</si>
  <si>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</si>
  <si>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</si>
  <si>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</si>
  <si>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</si>
  <si>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</si>
  <si>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</si>
  <si>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</si>
  <si>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</si>
  <si>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</si>
  <si>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</si>
  <si>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</si>
  <si>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</si>
  <si>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</si>
  <si>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</si>
  <si>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</si>
  <si>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</si>
  <si>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</si>
  <si>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</si>
  <si>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</si>
  <si>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</si>
  <si>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</si>
  <si>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</si>
  <si>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</si>
  <si>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</si>
  <si>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</si>
  <si>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</si>
  <si>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</si>
  <si>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</si>
  <si>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</si>
  <si>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</si>
  <si>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</si>
  <si>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</si>
  <si>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</si>
  <si>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</si>
  <si>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</si>
  <si>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</si>
  <si>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</si>
  <si>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</si>
  <si>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</si>
  <si>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</si>
  <si>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</si>
  <si>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</si>
  <si>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</si>
  <si>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</si>
  <si>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</si>
  <si>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</si>
  <si>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</si>
  <si>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</si>
  <si>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</si>
  <si>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</si>
  <si>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</si>
  <si>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</si>
  <si>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</si>
  <si>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</si>
  <si>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</si>
  <si>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</si>
  <si>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</si>
  <si>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</si>
  <si>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</si>
  <si>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</si>
  <si>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</si>
  <si>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</si>
  <si>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</si>
  <si>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</si>
  <si>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</si>
  <si>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</si>
  <si>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</si>
  <si>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</si>
  <si>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</si>
  <si>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</si>
  <si>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</si>
  <si>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</si>
  <si>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</si>
  <si>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</si>
  <si>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</si>
  <si>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</si>
  <si>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</si>
  <si>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</si>
  <si>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</si>
  <si>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</si>
  <si>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</si>
  <si>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</si>
  <si>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</si>
  <si>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</si>
  <si>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</si>
  <si>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</si>
  <si>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</si>
  <si>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</si>
  <si>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</si>
  <si>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</si>
  <si>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</si>
  <si>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</si>
  <si>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</si>
  <si>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</si>
  <si>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</si>
  <si>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</si>
  <si>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</si>
  <si>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</si>
  <si>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</si>
  <si>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</si>
  <si>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</si>
  <si>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</si>
  <si>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</si>
  <si>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</si>
  <si>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</si>
  <si>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</si>
  <si>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</si>
  <si>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</si>
  <si>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</si>
  <si>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</si>
  <si>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</si>
  <si>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</si>
  <si>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</si>
  <si>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</si>
  <si>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</si>
  <si>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</si>
  <si>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</si>
  <si>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</si>
  <si>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</si>
  <si>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</si>
  <si>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</si>
  <si>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</si>
  <si>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</si>
  <si>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</si>
  <si>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</si>
  <si>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</si>
  <si>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</si>
  <si>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</si>
  <si>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</si>
  <si>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</si>
  <si>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</si>
  <si>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</si>
  <si>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</si>
  <si>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</si>
  <si>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</si>
  <si>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</si>
  <si>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</si>
  <si>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</si>
  <si>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</si>
  <si>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</si>
  <si>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</si>
  <si>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</si>
  <si>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</si>
  <si>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</si>
  <si>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</si>
  <si>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</si>
  <si>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</si>
  <si>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</si>
  <si>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</si>
  <si>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</si>
  <si>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</si>
  <si>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</si>
  <si>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</si>
  <si>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</si>
  <si>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</si>
  <si>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</si>
  <si>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</si>
  <si>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</si>
  <si>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</si>
  <si>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</si>
  <si>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</si>
  <si>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</si>
  <si>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</si>
  <si>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</si>
  <si>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</si>
  <si>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</si>
  <si>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</si>
  <si>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</si>
  <si>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</si>
  <si>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</si>
  <si>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</si>
  <si>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</si>
  <si>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</si>
  <si>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</si>
  <si>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</si>
  <si>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</si>
  <si>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</si>
  <si>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</si>
  <si>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</si>
  <si>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</si>
  <si>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</si>
  <si>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</si>
  <si>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</si>
  <si>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</si>
  <si>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</si>
  <si>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</si>
  <si>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</si>
  <si>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</si>
  <si>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</si>
  <si>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</si>
  <si>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</si>
  <si>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</si>
  <si>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</si>
  <si>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</si>
  <si>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</si>
  <si>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</si>
  <si>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</si>
  <si>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</si>
  <si>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</si>
  <si>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</si>
  <si>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</si>
  <si>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</si>
  <si>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</si>
  <si>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</si>
  <si>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</si>
  <si>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</si>
  <si>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</si>
  <si>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</si>
  <si>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</si>
  <si>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</si>
  <si>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</si>
  <si>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</si>
  <si>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</si>
  <si>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</si>
  <si>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</si>
  <si>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</si>
  <si>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</si>
  <si>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</si>
  <si>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</si>
  <si>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</si>
  <si>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</si>
  <si>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</si>
  <si>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</si>
  <si>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</si>
  <si>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</si>
  <si>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</si>
  <si>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</si>
  <si>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</si>
  <si>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</si>
  <si>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</si>
  <si>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</si>
  <si>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</si>
  <si>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</si>
  <si>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</si>
  <si>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</si>
  <si>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</si>
  <si>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</si>
  <si>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</si>
  <si>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</si>
  <si>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</si>
  <si>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</si>
  <si>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</si>
  <si>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</si>
  <si>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</si>
  <si>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</si>
  <si>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</si>
  <si>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</si>
  <si>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</si>
  <si>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</si>
  <si>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</si>
  <si>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</si>
  <si>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</si>
  <si>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</si>
  <si>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</si>
  <si>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</si>
  <si>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</si>
  <si>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</si>
  <si>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</si>
  <si>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</si>
  <si>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</si>
  <si>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</si>
  <si>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</si>
  <si>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</si>
  <si>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</si>
  <si>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</si>
  <si>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</si>
  <si>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</si>
  <si>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</si>
  <si>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</si>
  <si>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</si>
  <si>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</si>
  <si>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</si>
  <si>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</si>
  <si>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</si>
  <si>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</si>
  <si>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</si>
  <si>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</si>
  <si>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</si>
  <si>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</si>
  <si>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</si>
  <si>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</si>
  <si>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</si>
  <si>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</si>
  <si>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</si>
  <si>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</si>
  <si>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</si>
  <si>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</si>
  <si>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</si>
  <si>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</si>
  <si>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</si>
  <si>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</si>
  <si>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</si>
  <si>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</si>
  <si>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</si>
  <si>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</si>
  <si>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</si>
  <si>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</si>
  <si>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</si>
  <si>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</si>
  <si>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</si>
  <si>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</si>
  <si>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</si>
  <si>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</si>
  <si>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</si>
  <si>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</si>
  <si>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</si>
  <si>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</si>
  <si>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</si>
  <si>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</si>
  <si>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</si>
  <si>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</si>
  <si>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</si>
  <si>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</si>
  <si>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</si>
  <si>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</si>
  <si>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</si>
  <si>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</si>
  <si>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</si>
  <si>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</si>
  <si>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</si>
  <si>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</si>
  <si>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</si>
  <si>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</si>
  <si>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</si>
  <si>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</si>
  <si>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</si>
  <si>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</si>
  <si>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</si>
  <si>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</si>
  <si>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</si>
  <si>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</si>
  <si>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</si>
  <si>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</si>
  <si>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</si>
  <si>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</si>
  <si>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</si>
  <si>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</si>
  <si>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</si>
  <si>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</si>
  <si>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</si>
  <si>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</si>
  <si>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</si>
  <si>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</si>
  <si>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</si>
  <si>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</si>
  <si>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</si>
  <si>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</si>
  <si>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</si>
  <si>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</si>
  <si>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</si>
  <si>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</si>
  <si>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</si>
  <si>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</si>
  <si>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</si>
  <si>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</si>
  <si>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</si>
  <si>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</si>
  <si>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</si>
  <si>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</si>
  <si>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</si>
  <si>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</si>
  <si>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</si>
  <si>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</si>
  <si>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</si>
  <si>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</si>
  <si>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</si>
  <si>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</si>
  <si>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</si>
  <si>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</si>
  <si>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</si>
  <si>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</si>
  <si>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</si>
  <si>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</si>
  <si>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</si>
  <si>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</si>
  <si>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</si>
  <si>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</si>
  <si>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</si>
  <si>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</si>
  <si>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</si>
  <si>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</si>
  <si>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</si>
  <si>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</si>
  <si>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</si>
  <si>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</si>
  <si>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</si>
  <si>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</si>
  <si>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</si>
  <si>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</si>
  <si>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</si>
  <si>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</si>
  <si>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</si>
  <si>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</si>
  <si>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</si>
  <si>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</si>
  <si>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</si>
  <si>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</si>
  <si>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</si>
  <si>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</si>
  <si>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</si>
  <si>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</si>
  <si>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</si>
  <si>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</si>
  <si>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</si>
  <si>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</si>
  <si>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</si>
  <si>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</si>
  <si>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</si>
  <si>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</si>
  <si>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</si>
  <si>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</si>
  <si>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</si>
  <si>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</si>
  <si>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</si>
  <si>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</si>
  <si>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</si>
  <si>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</si>
  <si>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</si>
  <si>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</si>
  <si>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</si>
  <si>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</si>
  <si>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</si>
  <si>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</si>
  <si>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</si>
  <si>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</si>
  <si>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</si>
  <si>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</si>
  <si>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</si>
  <si>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</si>
  <si>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</si>
  <si>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</si>
  <si>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</si>
  <si>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</si>
  <si>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</si>
  <si>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</si>
  <si>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</si>
  <si>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</si>
  <si>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</si>
  <si>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</si>
  <si>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</si>
  <si>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</si>
  <si>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</si>
  <si>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</si>
  <si>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</si>
  <si>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</si>
  <si>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</si>
  <si>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</si>
  <si>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</si>
  <si>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</si>
  <si>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</si>
  <si>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</si>
  <si>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</si>
  <si>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</si>
  <si>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</si>
  <si>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</si>
  <si>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</si>
  <si>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</si>
  <si>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</si>
  <si>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</si>
  <si>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</si>
  <si>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</si>
  <si>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</si>
  <si>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</si>
  <si>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</si>
  <si>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</si>
  <si>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</si>
  <si>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</si>
  <si>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</si>
  <si>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</si>
  <si>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</si>
  <si>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</si>
  <si>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</si>
  <si>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</si>
  <si>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</si>
  <si>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</si>
  <si>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</si>
  <si>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</si>
  <si>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</si>
  <si>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</si>
  <si>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</si>
  <si>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</si>
  <si>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</si>
  <si>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</si>
  <si>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</si>
  <si>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</si>
  <si>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</si>
  <si>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</si>
  <si>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</si>
  <si>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</si>
  <si>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</si>
  <si>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</si>
  <si>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</si>
  <si>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</si>
  <si>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</si>
  <si>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</si>
  <si>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</si>
  <si>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</si>
  <si>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</si>
  <si>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</si>
  <si>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</si>
  <si>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</si>
  <si>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</si>
  <si>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</si>
  <si>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</si>
  <si>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</si>
  <si>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</si>
  <si>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</si>
  <si>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</si>
  <si>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</si>
  <si>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</si>
  <si>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</si>
  <si>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</si>
  <si>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</si>
  <si>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</si>
  <si>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</si>
  <si>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</si>
  <si>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</si>
  <si>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</si>
  <si>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</si>
  <si>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</si>
  <si>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</si>
  <si>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</si>
  <si>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</si>
  <si>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</si>
  <si>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</si>
  <si>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</si>
  <si>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</si>
  <si>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</si>
  <si>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</si>
  <si>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</si>
  <si>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</si>
  <si>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</si>
  <si>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</si>
  <si>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</si>
  <si>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</si>
  <si>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</si>
  <si>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</si>
  <si>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</si>
  <si>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</si>
  <si>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</si>
  <si>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</si>
  <si>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</si>
  <si>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</si>
  <si>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</si>
  <si>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</si>
  <si>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</si>
  <si>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</si>
  <si>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</si>
  <si>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</si>
  <si>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</si>
  <si>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</si>
  <si>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</si>
  <si>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</si>
  <si>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</si>
  <si>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</si>
  <si>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</si>
  <si>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</si>
  <si>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</si>
  <si>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</si>
  <si>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</si>
  <si>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</si>
  <si>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</si>
  <si>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</si>
  <si>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</si>
  <si>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</si>
  <si>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</si>
  <si>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</si>
  <si>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</si>
  <si>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</si>
  <si>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</si>
  <si>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</si>
  <si>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</si>
  <si>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</si>
  <si>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</si>
  <si>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</si>
  <si>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</si>
  <si>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</si>
  <si>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</si>
  <si>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</si>
  <si>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</si>
  <si>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</si>
  <si>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</si>
  <si>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</si>
  <si>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</si>
  <si>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</si>
  <si>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</si>
  <si>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</si>
  <si>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</si>
  <si>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</si>
  <si>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</si>
  <si>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</si>
  <si>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</si>
  <si>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</si>
  <si>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</si>
  <si>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</si>
  <si>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</si>
  <si>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</si>
  <si>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</si>
  <si>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</si>
  <si>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</si>
  <si>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</si>
  <si>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</si>
  <si>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</si>
  <si>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</si>
  <si>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</si>
  <si>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</si>
  <si>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</si>
  <si>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</si>
  <si>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</si>
  <si>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</si>
  <si>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</si>
  <si>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</si>
  <si>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</si>
  <si>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</si>
  <si>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</si>
  <si>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</si>
  <si>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</si>
  <si>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</si>
  <si>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</si>
  <si>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</si>
  <si>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</si>
  <si>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</si>
  <si>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</si>
  <si>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</si>
  <si>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</si>
  <si>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</si>
  <si>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</si>
  <si>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</si>
  <si>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</si>
  <si>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</si>
  <si>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</si>
  <si>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</si>
  <si>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</si>
  <si>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</si>
  <si>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</si>
  <si>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</si>
  <si>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</si>
  <si>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</si>
  <si>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</si>
  <si>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</si>
  <si>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</si>
  <si>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</si>
  <si>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</si>
  <si>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</si>
  <si>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</si>
  <si>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</si>
  <si>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</si>
  <si>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</si>
  <si>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</si>
  <si>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</si>
  <si>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</si>
  <si>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</si>
  <si>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</si>
  <si>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</si>
  <si>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</si>
  <si>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</si>
  <si>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</si>
  <si>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</si>
  <si>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</si>
  <si>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</si>
  <si>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</si>
  <si>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</si>
  <si>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</si>
  <si>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</si>
  <si>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</si>
  <si>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</si>
  <si>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</si>
  <si>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</si>
  <si>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</si>
  <si>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</si>
  <si>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</si>
  <si>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</si>
  <si>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</si>
  <si>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</si>
  <si>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</si>
  <si>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</si>
  <si>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</si>
  <si>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</si>
  <si>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</si>
  <si>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</si>
  <si>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</si>
  <si>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</si>
  <si>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</si>
  <si>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</si>
  <si>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</si>
  <si>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</si>
  <si>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</si>
  <si>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</si>
  <si>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</si>
  <si>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</si>
  <si>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</si>
  <si>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</si>
  <si>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</si>
  <si>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</si>
  <si>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</si>
  <si>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</si>
  <si>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</si>
  <si>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</si>
  <si>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</si>
  <si>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</si>
  <si>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</si>
  <si>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</si>
  <si>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</si>
  <si>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</si>
  <si>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</si>
  <si>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</si>
  <si>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</si>
  <si>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</si>
  <si>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</si>
  <si>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</si>
  <si>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</si>
  <si>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</si>
  <si>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</si>
  <si>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</si>
  <si>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</si>
  <si>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</si>
  <si>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</si>
  <si>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</si>
  <si>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</si>
  <si>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</si>
  <si>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</si>
  <si>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</si>
  <si>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</si>
  <si>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</si>
  <si>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</si>
  <si>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</si>
  <si>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</si>
  <si>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</si>
  <si>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</si>
  <si>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</si>
  <si>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</si>
  <si>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</si>
  <si>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</si>
  <si>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</si>
  <si>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</si>
  <si>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</si>
  <si>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</si>
  <si>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</si>
  <si>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</si>
  <si>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</si>
  <si>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</si>
  <si>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</si>
  <si>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</si>
  <si>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</si>
  <si>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</si>
  <si>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</si>
  <si>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</si>
  <si>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</si>
  <si>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</si>
  <si>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</si>
  <si>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</si>
  <si>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</si>
  <si>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</si>
  <si>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</si>
  <si>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</si>
  <si>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</si>
  <si>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</si>
  <si>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</si>
  <si>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</si>
  <si>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</si>
  <si>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</si>
  <si>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</si>
  <si>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</si>
  <si>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</si>
  <si>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</si>
  <si>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</si>
  <si>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</si>
  <si>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</si>
  <si>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</si>
  <si>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</si>
  <si>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</si>
  <si>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</si>
  <si>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</si>
  <si>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</si>
  <si>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</si>
  <si>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</si>
  <si>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</si>
  <si>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</si>
  <si>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</si>
  <si>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</si>
  <si>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</si>
  <si>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</si>
  <si>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</si>
  <si>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</si>
  <si>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</si>
  <si>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</si>
  <si>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</si>
  <si>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</si>
  <si>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</si>
  <si>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</si>
  <si>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</si>
  <si>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</si>
  <si>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</si>
  <si>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</si>
  <si>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</si>
  <si>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</si>
  <si>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</si>
  <si>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</si>
  <si>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</si>
  <si>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</si>
  <si>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</si>
  <si>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</si>
  <si>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</si>
  <si>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</si>
  <si>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</si>
  <si>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</si>
  <si>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</si>
  <si>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</si>
  <si>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</si>
  <si>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</si>
  <si>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</si>
  <si>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</si>
  <si>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</si>
  <si>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</si>
  <si>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</si>
  <si>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</si>
  <si>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</si>
  <si>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</si>
  <si>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</si>
  <si>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</si>
  <si>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</si>
  <si>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</si>
  <si>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</si>
  <si>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</si>
  <si>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</si>
  <si>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</si>
  <si>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</si>
  <si>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</si>
  <si>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</si>
  <si>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</si>
  <si>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</si>
  <si>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</si>
  <si>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</si>
  <si>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</si>
  <si>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</si>
  <si>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</si>
  <si>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</si>
  <si>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</si>
  <si>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</si>
  <si>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</si>
  <si>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</si>
  <si>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</si>
  <si>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</si>
  <si>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</si>
  <si>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</si>
  <si>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</si>
  <si>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</si>
  <si>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</si>
  <si>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</si>
  <si>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</si>
  <si>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</si>
  <si>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</si>
  <si>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</si>
  <si>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</si>
  <si>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</si>
  <si>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</si>
  <si>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</si>
  <si>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</si>
  <si>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</si>
  <si>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</si>
  <si>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</si>
  <si>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</si>
  <si>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</si>
  <si>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</si>
  <si>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</si>
  <si>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</si>
  <si>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</si>
  <si>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</si>
  <si>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</si>
  <si>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</si>
  <si>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</si>
  <si>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</si>
  <si>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</si>
  <si>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</si>
  <si>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</si>
  <si>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</si>
  <si>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</si>
  <si>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</si>
  <si>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</si>
  <si>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</si>
  <si>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</si>
  <si>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</si>
  <si>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</si>
  <si>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</si>
  <si>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</si>
  <si>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</si>
  <si>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</si>
  <si>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</si>
  <si>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</si>
  <si>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</si>
  <si>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</si>
  <si>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</si>
  <si>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</si>
  <si>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</si>
  <si>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</si>
  <si>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</si>
  <si>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</si>
  <si>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</si>
  <si>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</si>
  <si>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</si>
  <si>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</si>
  <si>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</si>
  <si>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</si>
  <si>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</si>
  <si>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</si>
  <si>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</si>
  <si>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</si>
  <si>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</si>
  <si>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</si>
  <si>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</si>
  <si>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</si>
  <si>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</si>
  <si>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</si>
  <si>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</si>
  <si>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</si>
  <si>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</si>
  <si>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</si>
  <si>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</si>
  <si>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</si>
  <si>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</si>
  <si>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</si>
  <si>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</si>
  <si>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</si>
  <si>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</si>
  <si>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</si>
  <si>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</si>
  <si>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</si>
  <si>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</si>
  <si>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</si>
  <si>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</si>
  <si>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</si>
  <si>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</si>
  <si>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</si>
  <si>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</si>
  <si>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</si>
  <si>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</si>
  <si>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</si>
  <si>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</si>
  <si>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</si>
  <si>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</si>
  <si>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</si>
  <si>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</si>
  <si>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</si>
  <si>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</si>
  <si>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</si>
  <si>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</si>
  <si>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</si>
  <si>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</si>
  <si>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</si>
  <si>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</si>
  <si>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</si>
  <si>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</si>
  <si>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</si>
  <si>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</si>
  <si>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</si>
  <si>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</si>
  <si>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</si>
  <si>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</si>
  <si>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</si>
  <si>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</si>
  <si>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</si>
  <si>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</si>
  <si>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</si>
  <si>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</si>
  <si>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</si>
  <si>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</si>
  <si>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</si>
  <si>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</si>
  <si>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</si>
  <si>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</si>
  <si>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</si>
  <si>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</si>
  <si>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</si>
  <si>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</si>
  <si>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</si>
  <si>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</si>
  <si>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</si>
  <si>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</si>
  <si>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</si>
  <si>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</si>
  <si>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</si>
  <si>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</si>
  <si>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</si>
  <si>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</si>
  <si>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</si>
  <si>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</si>
  <si>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</si>
  <si>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</si>
  <si>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</si>
  <si>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</si>
  <si>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</si>
  <si>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</si>
  <si>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</si>
  <si>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</si>
  <si>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</si>
  <si>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</si>
  <si>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</si>
  <si>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</si>
  <si>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</si>
  <si>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</si>
  <si>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</si>
  <si>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</si>
  <si>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</si>
  <si>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</si>
  <si>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</si>
  <si>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</si>
  <si>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</si>
  <si>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</si>
  <si>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</si>
  <si>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</si>
  <si>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</si>
  <si>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</si>
  <si>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</si>
  <si>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</si>
  <si>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</si>
  <si>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</si>
  <si>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</si>
  <si>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</si>
  <si>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</si>
  <si>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</si>
  <si>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</si>
  <si>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</si>
  <si>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</si>
  <si>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</si>
  <si>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</si>
  <si>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</si>
  <si>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</si>
  <si>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</si>
  <si>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</si>
  <si>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</si>
  <si>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</si>
  <si>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</si>
  <si>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</si>
  <si>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</si>
  <si>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</si>
  <si>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</si>
  <si>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</si>
  <si>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</si>
  <si>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</si>
  <si>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</si>
  <si>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</si>
  <si>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</si>
  <si>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</si>
  <si>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</si>
  <si>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</si>
  <si>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</si>
  <si>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</si>
  <si>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</si>
  <si>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</si>
  <si>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</si>
  <si>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</si>
  <si>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</si>
  <si>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</si>
  <si>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</si>
  <si>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</si>
  <si>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</si>
  <si>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</si>
  <si>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</si>
  <si>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</si>
  <si>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</si>
  <si>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</si>
  <si>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</si>
  <si>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</si>
  <si>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</si>
  <si>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</si>
  <si>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</si>
  <si>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</si>
  <si>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</si>
  <si>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</si>
  <si>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</si>
  <si>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</si>
  <si>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</si>
  <si>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</si>
  <si>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</si>
  <si>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</si>
  <si>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</si>
  <si>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</si>
  <si>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</si>
  <si>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</si>
  <si>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</si>
  <si>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</si>
  <si>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</si>
  <si>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</si>
  <si>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</si>
  <si>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</si>
  <si>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</si>
  <si>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</si>
  <si>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</si>
  <si>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</si>
  <si>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</si>
  <si>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</si>
  <si>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</si>
  <si>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</si>
  <si>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</si>
  <si>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</si>
  <si>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</si>
  <si>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</si>
  <si>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</si>
  <si>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</si>
  <si>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</si>
  <si>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</si>
  <si>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</si>
  <si>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</si>
  <si>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</si>
  <si>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</si>
  <si>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</si>
  <si>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</si>
  <si>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</si>
  <si>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</si>
  <si>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</si>
  <si>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</si>
  <si>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</si>
  <si>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</si>
  <si>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</si>
  <si>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</si>
  <si>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</si>
  <si>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</si>
  <si>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</si>
  <si>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</si>
  <si>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</si>
  <si>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</si>
  <si>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</si>
  <si>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</si>
  <si>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</si>
  <si>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</si>
  <si>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</si>
  <si>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</si>
  <si>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</si>
  <si>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</si>
  <si>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</si>
  <si>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</si>
  <si>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</si>
  <si>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</si>
  <si>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</si>
  <si>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</si>
  <si>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</si>
  <si>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</si>
  <si>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</si>
  <si>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</si>
  <si>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</si>
  <si>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</si>
  <si>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</si>
  <si>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</si>
  <si>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</si>
  <si>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</si>
  <si>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</si>
  <si>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</si>
  <si>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</si>
  <si>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</si>
  <si>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</si>
  <si>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</si>
  <si>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</si>
  <si>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</si>
  <si>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</si>
  <si>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</si>
  <si>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</si>
  <si>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</si>
  <si>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</si>
  <si>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</si>
  <si>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</si>
  <si>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</si>
  <si>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</si>
  <si>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</si>
  <si>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</si>
  <si>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</si>
  <si>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</si>
  <si>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</si>
  <si>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</si>
  <si>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</si>
  <si>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</si>
  <si>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</si>
  <si>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</si>
  <si>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</si>
  <si>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</si>
  <si>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</si>
  <si>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</si>
  <si>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</si>
  <si>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</si>
  <si>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</si>
  <si>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</si>
  <si>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</si>
  <si>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</si>
  <si>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</si>
  <si>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</si>
  <si>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</si>
  <si>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</si>
  <si>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</si>
  <si>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</si>
  <si>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</si>
  <si>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</si>
  <si>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</si>
  <si>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</si>
  <si>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</si>
  <si>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</si>
  <si>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</si>
  <si>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</si>
  <si>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</si>
  <si>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</si>
  <si>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</si>
  <si>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</si>
  <si>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</si>
  <si>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</si>
  <si>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</si>
  <si>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</si>
  <si>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</si>
  <si>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</si>
  <si>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</si>
  <si>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</si>
  <si>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</si>
  <si>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</si>
  <si>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</si>
  <si>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</si>
  <si>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</si>
  <si>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</si>
  <si>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</si>
  <si>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</si>
  <si>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</si>
  <si>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</si>
  <si>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</si>
  <si>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</si>
  <si>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</si>
  <si>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</si>
  <si>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</si>
  <si>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</si>
  <si>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</si>
  <si>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</si>
  <si>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</si>
  <si>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</si>
  <si>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</si>
  <si>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</si>
  <si>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</si>
  <si>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</si>
  <si>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</si>
  <si>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</si>
  <si>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</si>
  <si>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</si>
  <si>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</si>
  <si>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</si>
  <si>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</si>
  <si>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</si>
  <si>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</si>
  <si>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</si>
  <si>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</si>
  <si>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</si>
  <si>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</si>
  <si>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</si>
  <si>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</si>
  <si>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</si>
  <si>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</si>
  <si>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</si>
  <si>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</si>
  <si>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</si>
  <si>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</si>
  <si>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</si>
  <si>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</si>
  <si>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</si>
  <si>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</si>
  <si>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</si>
  <si>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</si>
  <si>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</si>
  <si>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</si>
  <si>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</si>
  <si>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</si>
  <si>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</si>
  <si>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</si>
  <si>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</si>
  <si>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</si>
  <si>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</si>
  <si>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</si>
  <si>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</si>
  <si>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</si>
  <si>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</si>
  <si>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</si>
  <si>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</si>
  <si>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</si>
  <si>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</si>
  <si>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</si>
  <si>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</si>
  <si>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</si>
  <si>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</si>
  <si>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</si>
  <si>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</si>
  <si>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</si>
  <si>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</si>
  <si>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</si>
  <si>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</si>
  <si>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</si>
  <si>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</si>
  <si>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</si>
  <si>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</si>
  <si>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</si>
  <si>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</si>
  <si>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</si>
  <si>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</si>
  <si>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</si>
  <si>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</si>
  <si>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</si>
  <si>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</si>
  <si>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</si>
  <si>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</si>
  <si>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</si>
  <si>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</si>
  <si>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</si>
  <si>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</si>
  <si>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</si>
  <si>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</si>
  <si>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</si>
  <si>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</si>
  <si>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</si>
  <si>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</si>
  <si>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</si>
  <si>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</si>
  <si>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</si>
  <si>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</si>
  <si>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</si>
  <si>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</si>
  <si>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</si>
  <si>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</si>
  <si>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</si>
  <si>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</si>
  <si>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</si>
  <si>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</si>
  <si>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</si>
  <si>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</si>
  <si>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</si>
  <si>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</si>
  <si>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</si>
  <si>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</si>
  <si>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</si>
  <si>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</si>
  <si>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</si>
  <si>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</si>
  <si>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</si>
  <si>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</si>
  <si>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</si>
  <si>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</si>
  <si>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</si>
  <si>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</si>
  <si>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</si>
  <si>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</si>
  <si>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</si>
  <si>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</si>
  <si>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</si>
  <si>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</si>
  <si>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</si>
  <si>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</si>
  <si>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</si>
  <si>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</si>
  <si>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</si>
  <si>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</si>
  <si>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</si>
  <si>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</si>
  <si>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</si>
  <si>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</si>
  <si>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</si>
  <si>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</si>
  <si>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</si>
  <si>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</si>
  <si>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</si>
  <si>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</si>
  <si>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</si>
  <si>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</si>
  <si>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</si>
  <si>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</si>
  <si>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</si>
  <si>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</si>
  <si>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</si>
  <si>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</si>
  <si>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</si>
  <si>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</si>
  <si>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</si>
  <si>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</si>
  <si>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</si>
  <si>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</si>
  <si>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</si>
  <si>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</si>
  <si>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</si>
  <si>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</si>
  <si>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</si>
  <si>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</si>
  <si>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</si>
  <si>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</si>
  <si>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</si>
  <si>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</si>
  <si>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</si>
  <si>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</si>
  <si>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</si>
  <si>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</si>
  <si>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</si>
  <si>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</si>
  <si>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</si>
  <si>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</si>
  <si>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</si>
  <si>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</si>
  <si>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</si>
  <si>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</si>
  <si>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</si>
  <si>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</si>
  <si>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</si>
  <si>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</si>
  <si>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</si>
  <si>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</si>
  <si>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</si>
  <si>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</si>
  <si>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</si>
  <si>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</si>
  <si>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</si>
  <si>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</si>
  <si>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</si>
  <si>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</si>
  <si>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</si>
  <si>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</si>
  <si>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</si>
  <si>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</si>
  <si>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</si>
  <si>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</si>
  <si>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</si>
  <si>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</si>
  <si>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</si>
  <si>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</si>
  <si>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</si>
  <si>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</si>
  <si>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</si>
  <si>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</si>
  <si>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</si>
  <si>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</si>
  <si>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</si>
  <si>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</si>
  <si>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</si>
  <si>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</si>
  <si>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</si>
  <si>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</si>
  <si>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</si>
  <si>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</si>
  <si>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</si>
  <si>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</si>
  <si>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</si>
  <si>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</si>
  <si>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</si>
  <si>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</si>
  <si>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</si>
  <si>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</si>
  <si>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</si>
  <si>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</si>
  <si>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</si>
  <si>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</si>
  <si>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</si>
  <si>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</si>
  <si>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</si>
  <si>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</si>
  <si>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</si>
  <si>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</si>
  <si>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</si>
  <si>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</si>
  <si>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</si>
  <si>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</si>
  <si>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</si>
  <si>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</si>
  <si>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</si>
  <si>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</si>
  <si>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</si>
  <si>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</si>
  <si>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</si>
  <si>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</si>
  <si>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</si>
  <si>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</si>
  <si>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</si>
  <si>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</si>
  <si>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</si>
  <si>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</si>
  <si>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</si>
  <si>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</si>
  <si>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</si>
  <si>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</si>
  <si>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</si>
  <si>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</si>
  <si>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</si>
  <si>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</si>
  <si>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</si>
  <si>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</si>
  <si>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</si>
  <si>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</si>
  <si>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</si>
  <si>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</si>
  <si>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</si>
  <si>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</si>
  <si>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</si>
  <si>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</si>
  <si>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</si>
  <si>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</si>
  <si>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</si>
  <si>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</si>
  <si>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</si>
  <si>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</si>
  <si>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</si>
  <si>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</si>
  <si>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</si>
  <si>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</si>
  <si>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</si>
  <si>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</si>
  <si>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</si>
  <si>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</si>
  <si>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</si>
  <si>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</si>
  <si>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</si>
  <si>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</si>
  <si>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</si>
  <si>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</si>
  <si>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</si>
  <si>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</si>
  <si>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</si>
  <si>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</si>
  <si>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</si>
  <si>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</si>
  <si>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</si>
  <si>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</si>
  <si>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</si>
  <si>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</si>
  <si>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</si>
  <si>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</si>
  <si>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</si>
  <si>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</si>
  <si>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</si>
  <si>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</si>
  <si>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</si>
  <si>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</si>
  <si>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</si>
  <si>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</si>
  <si>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</si>
  <si>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</si>
  <si>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</si>
  <si>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</si>
  <si>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</si>
  <si>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</si>
  <si>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</si>
  <si>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</si>
  <si>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</si>
  <si>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</si>
  <si>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</si>
  <si>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</si>
  <si>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</si>
  <si>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</si>
  <si>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</si>
  <si>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</si>
  <si>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</si>
  <si>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</si>
  <si>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</si>
  <si>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</si>
  <si>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</si>
  <si>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</si>
  <si>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</si>
  <si>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</si>
  <si>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</si>
  <si>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</si>
  <si>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</si>
  <si>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</si>
  <si>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</si>
  <si>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</si>
  <si>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</si>
  <si>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</si>
  <si>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</si>
  <si>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</si>
  <si>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</si>
  <si>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</si>
  <si>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</si>
  <si>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</si>
  <si>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</si>
  <si>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</si>
  <si>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</si>
  <si>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</si>
  <si>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</si>
  <si>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</si>
  <si>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</si>
  <si>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</si>
  <si>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</si>
  <si>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</si>
  <si>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</si>
  <si>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</si>
  <si>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</si>
  <si>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</si>
  <si>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</si>
  <si>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</si>
  <si>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</si>
  <si>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</si>
  <si>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</si>
  <si>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</si>
  <si>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</si>
  <si>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</si>
  <si>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</si>
  <si>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</si>
  <si>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</si>
  <si>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</si>
  <si>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</si>
  <si>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</si>
  <si>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</si>
  <si>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</si>
  <si>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</si>
  <si>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</si>
  <si>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</si>
  <si>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</si>
  <si>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</si>
  <si>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</si>
  <si>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</si>
  <si>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</si>
  <si>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</si>
  <si>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</si>
  <si>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</si>
  <si>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</si>
  <si>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</si>
  <si>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</si>
  <si>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</si>
  <si>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</si>
  <si>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</si>
  <si>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</si>
  <si>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</si>
  <si>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</si>
  <si>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</si>
  <si>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</si>
  <si>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</si>
  <si>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</si>
  <si>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</si>
  <si>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</si>
  <si>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</si>
  <si>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</si>
  <si>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</si>
  <si>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</si>
  <si>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</si>
  <si>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</si>
  <si>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</si>
  <si>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</si>
  <si>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</si>
  <si>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</si>
  <si>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</si>
  <si>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</si>
  <si>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</si>
  <si>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</si>
  <si>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</si>
  <si>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</si>
  <si>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</si>
  <si>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</si>
  <si>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</si>
  <si>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</si>
  <si>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</si>
  <si>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</si>
  <si>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</si>
  <si>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</si>
  <si>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</si>
  <si>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</si>
  <si>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</si>
  <si>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</si>
  <si>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</si>
  <si>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</si>
  <si>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</si>
  <si>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</si>
  <si>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</si>
  <si>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</si>
  <si>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</si>
  <si>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</si>
  <si>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</si>
  <si>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</si>
  <si>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</si>
  <si>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</si>
  <si>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</si>
  <si>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</si>
  <si>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</si>
  <si>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</si>
  <si>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</si>
  <si>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</si>
  <si>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</si>
  <si>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</si>
  <si>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</si>
  <si>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</si>
  <si>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</si>
  <si>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</si>
  <si>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</si>
  <si>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</si>
  <si>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</si>
  <si>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</si>
  <si>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</si>
  <si>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</si>
  <si>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</si>
  <si>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</si>
  <si>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</si>
  <si>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</si>
  <si>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</si>
  <si>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</si>
  <si>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</si>
  <si>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</si>
  <si>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</si>
  <si>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</si>
  <si>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</si>
  <si>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</si>
  <si>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</si>
  <si>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</si>
  <si>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</si>
  <si>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</si>
  <si>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</si>
  <si>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</si>
  <si>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</si>
  <si>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</si>
  <si>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</si>
  <si>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</si>
  <si>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</si>
  <si>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</si>
  <si>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</si>
  <si>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</si>
  <si>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</si>
  <si>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</si>
  <si>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</si>
  <si>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</si>
  <si>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</si>
  <si>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</si>
  <si>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</si>
  <si>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</si>
  <si>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</si>
  <si>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</si>
  <si>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</si>
  <si>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</si>
  <si>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</si>
  <si>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</si>
  <si>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</si>
  <si>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</si>
  <si>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</si>
  <si>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</si>
  <si>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</si>
  <si>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</si>
  <si>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</si>
  <si>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</si>
  <si>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</si>
  <si>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</si>
  <si>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</si>
  <si>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</si>
  <si>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</si>
  <si>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</si>
  <si>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</si>
  <si>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</si>
  <si>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</si>
  <si>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</si>
  <si>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</si>
  <si>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</si>
  <si>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</si>
  <si>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</si>
  <si>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</si>
  <si>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</si>
  <si>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</si>
  <si>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</si>
  <si>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</si>
  <si>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</si>
  <si>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</si>
  <si>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</si>
  <si>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</si>
  <si>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</si>
  <si>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</si>
  <si>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</si>
  <si>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</si>
  <si>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</si>
  <si>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</si>
  <si>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</si>
  <si>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</si>
  <si>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</si>
  <si>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</si>
  <si>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</si>
  <si>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</si>
  <si>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</si>
  <si>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</si>
  <si>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</si>
  <si>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</si>
  <si>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</si>
  <si>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</si>
  <si>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</si>
  <si>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</si>
  <si>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</si>
  <si>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</si>
  <si>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</si>
  <si>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</si>
  <si>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</si>
  <si>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</si>
  <si>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</si>
  <si>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</si>
  <si>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</si>
  <si>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</si>
  <si>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</si>
  <si>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</si>
  <si>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</si>
  <si>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</si>
  <si>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</si>
  <si>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</si>
  <si>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</si>
  <si>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</si>
  <si>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</si>
  <si>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</si>
  <si>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</si>
  <si>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</si>
  <si>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</si>
  <si>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</si>
  <si>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</si>
  <si>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</si>
  <si>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</si>
  <si>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</si>
  <si>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</si>
  <si>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</si>
  <si>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</si>
  <si>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</si>
  <si>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</si>
  <si>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</si>
  <si>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</si>
  <si>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</si>
  <si>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</si>
  <si>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</si>
  <si>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</si>
  <si>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</si>
  <si>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</si>
  <si>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</si>
  <si>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</si>
  <si>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</si>
  <si>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</si>
  <si>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</si>
  <si>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</si>
  <si>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</si>
  <si>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</si>
  <si>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</si>
  <si>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</si>
  <si>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</si>
  <si>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</si>
  <si>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</si>
  <si>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</si>
  <si>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</si>
  <si>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</si>
  <si>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</si>
  <si>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</si>
  <si>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</si>
  <si>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</si>
  <si>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</si>
  <si>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</si>
  <si>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</si>
  <si>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</si>
  <si>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</si>
  <si>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</si>
  <si>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</si>
  <si>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</si>
  <si>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</si>
  <si>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</si>
  <si>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</si>
  <si>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</si>
  <si>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</si>
  <si>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</si>
  <si>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</si>
  <si>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</si>
  <si>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</si>
  <si>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</si>
  <si>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</si>
  <si>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</si>
  <si>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</si>
  <si>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</si>
  <si>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</si>
  <si>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</si>
  <si>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</si>
  <si>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</si>
  <si>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</si>
  <si>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</si>
  <si>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</si>
  <si>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</si>
  <si>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</si>
  <si>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</si>
  <si>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</si>
  <si>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</si>
  <si>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</si>
  <si>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</si>
  <si>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</si>
  <si>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</si>
  <si>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</si>
  <si>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</si>
  <si>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</si>
  <si>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</si>
  <si>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</si>
  <si>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</si>
  <si>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</si>
  <si>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</si>
  <si>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</si>
  <si>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</si>
  <si>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</si>
  <si>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</si>
  <si>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</si>
  <si>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</si>
  <si>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</si>
  <si>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</si>
  <si>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</si>
  <si>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</si>
  <si>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</si>
  <si>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</si>
  <si>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</si>
  <si>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</si>
  <si>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</si>
  <si>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</si>
  <si>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</si>
  <si>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</si>
  <si>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</si>
  <si>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</si>
  <si>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</si>
  <si>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</si>
  <si>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</si>
  <si>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</si>
  <si>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</si>
  <si>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</si>
  <si>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</si>
  <si>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</si>
  <si>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</si>
  <si>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</si>
  <si>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</si>
  <si>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</si>
  <si>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</si>
  <si>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</si>
  <si>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</si>
  <si>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</si>
  <si>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</si>
  <si>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</si>
  <si>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</si>
  <si>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</si>
  <si>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</si>
  <si>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</si>
  <si>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</si>
  <si>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</si>
  <si>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</si>
  <si>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</si>
  <si>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</si>
  <si>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</si>
  <si>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</si>
  <si>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</si>
  <si>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</si>
  <si>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</si>
  <si>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</si>
  <si>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</si>
  <si>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</si>
  <si>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</si>
  <si>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</si>
  <si>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</si>
  <si>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</si>
  <si>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</si>
  <si>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</si>
  <si>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</si>
  <si>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</si>
  <si>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</si>
  <si>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</si>
  <si>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</si>
  <si>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</si>
  <si>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</si>
  <si>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</si>
  <si>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</si>
  <si>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</si>
  <si>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</si>
  <si>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</si>
  <si>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</si>
  <si>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</si>
  <si>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</si>
  <si>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</si>
  <si>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</si>
  <si>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</si>
  <si>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</si>
  <si>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</si>
  <si>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</si>
  <si>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</si>
  <si>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</si>
  <si>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</si>
  <si>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</si>
  <si>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</si>
  <si>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</si>
  <si>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</si>
  <si>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</si>
  <si>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</si>
  <si>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</si>
  <si>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</si>
  <si>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</si>
  <si>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</si>
  <si>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</si>
  <si>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</si>
  <si>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</si>
  <si>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</si>
  <si>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</si>
  <si>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</si>
  <si>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</si>
  <si>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</si>
  <si>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</si>
  <si>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</si>
  <si>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</si>
  <si>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</si>
  <si>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</si>
  <si>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</si>
  <si>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</si>
  <si>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</si>
  <si>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</si>
  <si>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</si>
  <si>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</si>
  <si>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</si>
  <si>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</si>
  <si>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</si>
  <si>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</si>
  <si>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</si>
  <si>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</si>
  <si>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</si>
  <si>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</si>
  <si>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</si>
  <si>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</si>
  <si>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</si>
  <si>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</si>
  <si>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</si>
  <si>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</si>
  <si>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</si>
  <si>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</si>
  <si>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</si>
  <si>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</si>
  <si>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</si>
  <si>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</si>
  <si>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</si>
  <si>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</si>
  <si>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</si>
  <si>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</si>
  <si>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</si>
  <si>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</si>
  <si>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</si>
  <si>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</si>
  <si>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</si>
  <si>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</si>
  <si>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</si>
  <si>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</si>
  <si>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</si>
  <si>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</si>
  <si>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</si>
  <si>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</si>
  <si>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</si>
  <si>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</si>
  <si>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</si>
  <si>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</si>
  <si>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</si>
  <si>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</si>
  <si>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</si>
  <si>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</si>
  <si>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</si>
  <si>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</si>
  <si>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</si>
  <si>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</si>
  <si>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</si>
  <si>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</si>
  <si>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</si>
  <si>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</si>
  <si>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</si>
  <si>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</si>
  <si>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</si>
  <si>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</si>
  <si>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</si>
  <si>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</si>
  <si>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</si>
  <si>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</si>
  <si>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</si>
  <si>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</si>
  <si>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</si>
  <si>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</si>
  <si>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</si>
  <si>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</si>
  <si>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</si>
  <si>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</si>
  <si>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</si>
  <si>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</si>
  <si>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</si>
  <si>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</si>
  <si>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</si>
  <si>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</si>
  <si>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</si>
  <si>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</si>
  <si>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</si>
  <si>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</si>
  <si>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</si>
  <si>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</si>
  <si>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</si>
  <si>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</si>
  <si>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</si>
  <si>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</si>
  <si>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</si>
  <si>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</si>
  <si>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</si>
  <si>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</si>
  <si>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</si>
  <si>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</si>
  <si>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</si>
  <si>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</si>
  <si>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</si>
  <si>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</si>
  <si>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</si>
  <si>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</si>
  <si>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</si>
  <si>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</si>
  <si>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</si>
  <si>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</si>
  <si>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</si>
  <si>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</si>
  <si>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</si>
  <si>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</si>
  <si>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</si>
  <si>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</si>
  <si>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</si>
  <si>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</si>
  <si>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</si>
  <si>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</si>
  <si>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</si>
  <si>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</si>
  <si>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</si>
  <si>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</si>
  <si>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</si>
  <si>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</si>
  <si>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</si>
  <si>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</si>
  <si>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</si>
  <si>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</si>
  <si>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</si>
  <si>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</si>
  <si>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</si>
  <si>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</si>
  <si>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</si>
  <si>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</si>
  <si>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</si>
  <si>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</si>
  <si>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</si>
  <si>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</si>
  <si>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</si>
  <si>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</si>
  <si>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</si>
  <si>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</si>
  <si>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</si>
  <si>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</si>
  <si>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</si>
  <si>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</si>
  <si>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</si>
  <si>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</si>
  <si>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</si>
  <si>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</si>
  <si>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</si>
  <si>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</si>
  <si>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</si>
  <si>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</si>
  <si>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</si>
  <si>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</si>
  <si>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</si>
  <si>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</si>
  <si>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</si>
  <si>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</si>
  <si>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</si>
  <si>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</si>
  <si>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</si>
  <si>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</si>
  <si>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</si>
  <si>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</si>
  <si>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</si>
  <si>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</si>
  <si>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</si>
  <si>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</si>
  <si>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</si>
  <si>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</si>
  <si>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</si>
  <si>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</si>
  <si>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</si>
  <si>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</si>
  <si>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</si>
  <si>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</si>
  <si>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</si>
  <si>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</si>
  <si>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</si>
  <si>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</si>
  <si>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</si>
  <si>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</si>
  <si>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</si>
  <si>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</si>
  <si>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</si>
  <si>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</si>
  <si>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</si>
  <si>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</si>
  <si>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</si>
  <si>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</si>
  <si>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</si>
  <si>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</si>
  <si>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</si>
  <si>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</si>
  <si>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</si>
  <si>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</si>
  <si>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</si>
  <si>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</si>
  <si>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</si>
  <si>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</si>
  <si>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</si>
  <si>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</si>
  <si>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</si>
  <si>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</si>
  <si>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</si>
  <si>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</si>
  <si>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</si>
  <si>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</si>
  <si>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</si>
  <si>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</si>
  <si>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</si>
  <si>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</si>
  <si>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</si>
  <si>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</si>
  <si>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</si>
  <si>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</si>
  <si>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</si>
  <si>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</si>
  <si>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</si>
  <si>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</si>
  <si>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</si>
  <si>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</si>
  <si>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</si>
  <si>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</si>
  <si>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</si>
  <si>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</si>
  <si>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</si>
  <si>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</si>
  <si>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</si>
  <si>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</si>
  <si>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</si>
  <si>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</si>
  <si>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</si>
  <si>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</si>
  <si>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</si>
  <si>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</si>
  <si>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</si>
  <si>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</si>
  <si>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</si>
  <si>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</si>
  <si>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</si>
  <si>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</si>
  <si>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</si>
  <si>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</si>
  <si>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</si>
  <si>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</si>
  <si>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</si>
  <si>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</si>
  <si>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</si>
  <si>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</si>
  <si>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</si>
  <si>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</si>
  <si>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</si>
  <si>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</si>
  <si>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</si>
  <si>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</si>
  <si>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</si>
  <si>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</si>
  <si>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</si>
  <si>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</si>
  <si>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</si>
  <si>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</si>
  <si>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</si>
  <si>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</si>
  <si>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</si>
  <si>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</si>
  <si>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</si>
  <si>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</si>
  <si>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</si>
  <si>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</si>
  <si>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</si>
  <si>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</si>
  <si>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</si>
  <si>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</si>
  <si>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</si>
  <si>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</si>
  <si>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</si>
  <si>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</si>
  <si>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</si>
  <si>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</si>
  <si>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</si>
  <si>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</si>
  <si>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</si>
  <si>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</si>
  <si>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</si>
  <si>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</si>
  <si>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</si>
  <si>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</si>
  <si>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</si>
  <si>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</si>
  <si>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</si>
  <si>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</si>
  <si>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</si>
  <si>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</si>
  <si>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</si>
  <si>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</si>
  <si>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</si>
  <si>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</si>
  <si>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</si>
  <si>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</si>
  <si>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</si>
  <si>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</si>
  <si>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</si>
  <si>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</si>
  <si>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</si>
  <si>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</si>
  <si>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</si>
  <si>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</si>
  <si>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</si>
  <si>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</si>
  <si>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</si>
  <si>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</si>
  <si>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</si>
  <si>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</si>
  <si>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</si>
  <si>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</si>
  <si>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</si>
  <si>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</si>
  <si>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</si>
  <si>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</si>
  <si>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</si>
  <si>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</si>
  <si>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</si>
  <si>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</si>
  <si>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</si>
  <si>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</si>
  <si>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</si>
  <si>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</si>
  <si>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</si>
  <si>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</si>
  <si>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</si>
  <si>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</si>
  <si>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</si>
  <si>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</si>
  <si>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</si>
  <si>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</si>
  <si>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</si>
  <si>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</si>
  <si>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</si>
  <si>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</si>
  <si>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</si>
  <si>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</si>
  <si>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</si>
  <si>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</si>
  <si>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</si>
  <si>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</si>
  <si>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</si>
  <si>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</si>
  <si>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</si>
  <si>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</si>
  <si>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</si>
  <si>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</si>
  <si>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</si>
  <si>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</si>
  <si>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</si>
  <si>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</si>
  <si>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</si>
  <si>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</si>
  <si>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</si>
  <si>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</si>
  <si>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</si>
  <si>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</si>
  <si>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</si>
  <si>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</si>
  <si>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</si>
  <si>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</si>
  <si>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</si>
  <si>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</si>
  <si>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</si>
  <si>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</si>
  <si>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</si>
  <si>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</si>
  <si>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</si>
  <si>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</si>
  <si>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</si>
  <si>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</si>
  <si>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</si>
  <si>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</si>
  <si>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</si>
  <si>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</si>
  <si>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</si>
  <si>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</si>
  <si>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</si>
  <si>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</si>
  <si>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</si>
  <si>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</si>
  <si>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</si>
  <si>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</si>
  <si>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</si>
  <si>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</si>
  <si>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</si>
  <si>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</si>
  <si>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</si>
  <si>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</si>
  <si>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</si>
  <si>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</si>
  <si>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</si>
  <si>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</si>
  <si>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</si>
  <si>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</si>
  <si>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</si>
  <si>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</si>
  <si>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</si>
  <si>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</si>
  <si>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</si>
  <si>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</si>
  <si>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</si>
  <si>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</si>
  <si>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</si>
  <si>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</si>
  <si>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</si>
  <si>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</si>
  <si>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</si>
  <si>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</si>
  <si>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</si>
  <si>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</si>
  <si>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</si>
  <si>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</si>
  <si>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</si>
  <si>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</si>
  <si>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</si>
  <si>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</si>
  <si>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</si>
  <si>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</si>
  <si>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</si>
  <si>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</si>
  <si>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</si>
  <si>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</si>
  <si>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</si>
  <si>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</si>
  <si>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</si>
  <si>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</si>
  <si>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</si>
  <si>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</si>
  <si>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</si>
  <si>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</si>
  <si>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</si>
  <si>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</si>
  <si>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</si>
  <si>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</si>
  <si>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</si>
  <si>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</si>
  <si>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</si>
  <si>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</si>
  <si>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</si>
  <si>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</si>
  <si>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</si>
  <si>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</si>
  <si>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</si>
  <si>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</si>
  <si>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</si>
  <si>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</si>
  <si>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</si>
  <si>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</si>
  <si>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</si>
  <si>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</si>
  <si>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</si>
  <si>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</si>
  <si>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</si>
  <si>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</si>
  <si>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</si>
  <si>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</si>
  <si>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</si>
  <si>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</si>
  <si>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</si>
  <si>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</si>
  <si>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</si>
  <si>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</si>
  <si>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</si>
  <si>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</si>
  <si>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</si>
  <si>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</si>
  <si>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</si>
  <si>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</si>
  <si>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</si>
  <si>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</si>
  <si>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</si>
  <si>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</si>
  <si>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</si>
  <si>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</si>
  <si>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</si>
  <si>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</si>
  <si>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</si>
  <si>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</si>
  <si>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</si>
  <si>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</si>
  <si>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</si>
  <si>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</si>
  <si>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</si>
  <si>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</si>
  <si>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</si>
  <si>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</si>
  <si>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</si>
  <si>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</si>
  <si>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</si>
  <si>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</si>
  <si>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</si>
  <si>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</si>
  <si>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</si>
  <si>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</si>
  <si>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</si>
  <si>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</si>
  <si>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</si>
  <si>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</si>
  <si>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</si>
  <si>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</si>
  <si>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</si>
  <si>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</si>
  <si>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</si>
  <si>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</si>
  <si>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</si>
  <si>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</si>
  <si>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</si>
  <si>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</si>
  <si>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</si>
  <si>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</si>
  <si>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</si>
  <si>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</si>
  <si>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</si>
  <si>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</si>
  <si>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</si>
  <si>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</si>
  <si>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</si>
  <si>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</si>
  <si>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</si>
  <si>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</si>
  <si>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</si>
  <si>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</si>
  <si>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</si>
  <si>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</si>
  <si>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</si>
  <si>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</si>
  <si>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</si>
  <si>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</si>
  <si>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</si>
  <si>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</si>
  <si>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</si>
  <si>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</si>
  <si>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</si>
  <si>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</si>
  <si>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</si>
  <si>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</si>
  <si>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</si>
  <si>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</si>
  <si>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</si>
  <si>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</si>
  <si>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</si>
  <si>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</si>
  <si>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</si>
  <si>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</si>
  <si>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</si>
  <si>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</si>
  <si>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</si>
  <si>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</si>
  <si>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</si>
  <si>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</si>
  <si>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</si>
  <si>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</si>
  <si>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</si>
  <si>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</si>
  <si>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</si>
  <si>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</si>
  <si>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</si>
  <si>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</si>
  <si>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</si>
  <si>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</si>
  <si>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</si>
  <si>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</si>
  <si>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</si>
  <si>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</si>
  <si>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</si>
  <si>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</si>
  <si>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</si>
  <si>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</si>
  <si>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</si>
  <si>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</si>
  <si>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</si>
  <si>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</si>
  <si>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</si>
  <si>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</si>
  <si>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</si>
  <si>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</si>
  <si>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</si>
  <si>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</si>
  <si>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</si>
  <si>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</si>
  <si>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</si>
  <si>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</si>
  <si>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</si>
  <si>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</si>
  <si>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</si>
  <si>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</si>
  <si>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</si>
  <si>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</si>
  <si>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</si>
  <si>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</si>
  <si>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</si>
  <si>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</si>
  <si>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</si>
  <si>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</si>
  <si>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</si>
  <si>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</si>
  <si>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</si>
  <si>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</si>
  <si>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</si>
  <si>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</si>
  <si>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</si>
  <si>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</si>
  <si>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</si>
  <si>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</si>
  <si>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</si>
  <si>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</si>
  <si>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</si>
  <si>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</si>
  <si>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</si>
  <si>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</si>
  <si>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</si>
  <si>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</si>
  <si>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</si>
  <si>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</si>
  <si>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</si>
  <si>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</si>
  <si>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</si>
  <si>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</si>
  <si>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</si>
  <si>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</si>
  <si>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</si>
  <si>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</si>
  <si>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</si>
  <si>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</si>
  <si>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</si>
  <si>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</si>
  <si>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</si>
  <si>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</si>
  <si>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</si>
  <si>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</si>
  <si>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</si>
  <si>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</si>
  <si>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</si>
  <si>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</si>
  <si>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</si>
  <si>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</si>
  <si>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</si>
  <si>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</si>
  <si>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</si>
  <si>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</si>
  <si>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</si>
  <si>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</si>
  <si>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</si>
  <si>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</si>
  <si>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</si>
  <si>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</si>
  <si>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</si>
  <si>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</si>
  <si>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</si>
  <si>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</si>
  <si>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</si>
  <si>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</si>
  <si>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</si>
  <si>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</si>
  <si>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</si>
  <si>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</si>
  <si>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</si>
  <si>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</si>
  <si>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</si>
  <si>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</si>
  <si>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</si>
  <si>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</si>
  <si>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</si>
  <si>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</si>
  <si>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</si>
  <si>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</si>
  <si>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</si>
  <si>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</si>
  <si>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</si>
  <si>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</si>
  <si>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</si>
  <si>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</si>
  <si>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</si>
  <si>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</si>
  <si>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</si>
  <si>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</si>
  <si>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</si>
  <si>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</si>
  <si>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</si>
  <si>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</si>
  <si>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</si>
  <si>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</si>
  <si>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</si>
  <si>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</si>
  <si>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</si>
  <si>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</si>
  <si>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</si>
  <si>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</si>
  <si>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</si>
  <si>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</si>
  <si>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</si>
  <si>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</si>
  <si>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</si>
  <si>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</si>
  <si>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</si>
  <si>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</si>
  <si>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</si>
  <si>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</si>
  <si>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</si>
  <si>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</si>
  <si>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</si>
  <si>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</si>
  <si>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</si>
  <si>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</si>
  <si>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</si>
  <si>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</si>
  <si>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</si>
  <si>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</si>
  <si>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</si>
  <si>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</si>
  <si>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</si>
  <si>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</si>
  <si>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</si>
  <si>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</si>
  <si>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</si>
  <si>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</si>
  <si>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</si>
  <si>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</si>
  <si>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</si>
  <si>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</si>
  <si>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</si>
  <si>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</si>
  <si>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</si>
  <si>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</si>
  <si>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</si>
  <si>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</si>
  <si>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</si>
  <si>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</si>
  <si>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</si>
  <si>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</si>
  <si>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</si>
  <si>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</si>
  <si>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</si>
  <si>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</si>
  <si>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</si>
  <si>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</si>
  <si>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</si>
  <si>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</si>
  <si>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</si>
  <si>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</si>
  <si>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</si>
  <si>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</si>
  <si>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</si>
  <si>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</si>
  <si>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</si>
  <si>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</si>
  <si>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</si>
  <si>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</si>
  <si>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</si>
  <si>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</si>
  <si>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</si>
  <si>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</si>
  <si>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</si>
  <si>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</si>
  <si>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</si>
  <si>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</si>
  <si>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</si>
  <si>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</si>
  <si>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</si>
  <si>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</si>
  <si>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</si>
  <si>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</si>
  <si>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</si>
  <si>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</si>
  <si>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</si>
  <si>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</si>
  <si>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</si>
  <si>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</si>
  <si>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</si>
  <si>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</si>
  <si>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</si>
  <si>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</si>
  <si>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</si>
  <si>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</si>
  <si>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</si>
  <si>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</si>
  <si>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</si>
  <si>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</si>
  <si>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</si>
  <si>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</si>
  <si>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</si>
  <si>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</si>
  <si>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</si>
  <si>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</si>
  <si>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</si>
  <si>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</si>
  <si>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</si>
  <si>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</si>
  <si>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</si>
  <si>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</si>
  <si>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</si>
  <si>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</si>
  <si>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</si>
  <si>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</si>
  <si>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</si>
  <si>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</si>
  <si>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</si>
  <si>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</si>
  <si>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</si>
  <si>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</si>
  <si>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</si>
  <si>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</si>
  <si>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</si>
  <si>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</si>
  <si>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</si>
  <si>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</si>
  <si>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</si>
  <si>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</si>
  <si>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</si>
  <si>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</si>
  <si>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</si>
  <si>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</si>
  <si>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</si>
  <si>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</si>
  <si>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</si>
  <si>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</si>
  <si>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</si>
  <si>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</si>
  <si>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</si>
  <si>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</si>
  <si>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</si>
  <si>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</si>
  <si>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</si>
  <si>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</si>
  <si>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</si>
  <si>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</si>
  <si>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</si>
  <si>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</si>
  <si>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</si>
  <si>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</si>
  <si>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</si>
  <si>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</si>
  <si>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</si>
  <si>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</si>
  <si>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</si>
  <si>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</si>
  <si>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</si>
  <si>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</si>
  <si>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</si>
  <si>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</si>
  <si>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</si>
  <si>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</si>
  <si>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</si>
  <si>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</si>
  <si>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</si>
  <si>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</si>
  <si>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</si>
  <si>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</si>
  <si>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</si>
  <si>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</si>
  <si>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</si>
  <si>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</si>
  <si>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</si>
  <si>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</si>
  <si>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</si>
  <si>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</si>
  <si>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</si>
  <si>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</si>
  <si>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</si>
  <si>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</si>
  <si>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</si>
  <si>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</si>
  <si>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</si>
  <si>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</si>
  <si>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</si>
  <si>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</si>
  <si>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</si>
  <si>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</si>
  <si>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</si>
  <si>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</si>
  <si>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</si>
  <si>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</si>
  <si>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</si>
  <si>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</si>
  <si>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</si>
  <si>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</si>
  <si>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</si>
  <si>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</si>
  <si>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</si>
  <si>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</si>
  <si>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</si>
  <si>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</si>
  <si>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</si>
  <si>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</si>
  <si>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</si>
  <si>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</si>
  <si>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</si>
  <si>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</si>
  <si>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</si>
  <si>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</si>
  <si>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</si>
  <si>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</si>
  <si>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</si>
  <si>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</si>
  <si>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</si>
  <si>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</si>
  <si>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</si>
  <si>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</si>
  <si>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</si>
  <si>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</si>
  <si>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</si>
  <si>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</si>
  <si>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</si>
  <si>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</si>
  <si>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</si>
  <si>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</si>
  <si>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</si>
  <si>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</si>
  <si>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</si>
  <si>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</si>
  <si>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</si>
  <si>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</si>
  <si>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</si>
  <si>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</si>
  <si>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</si>
  <si>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</si>
  <si>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</si>
  <si>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</si>
  <si>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</si>
  <si>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</si>
  <si>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</si>
  <si>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</si>
  <si>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</si>
  <si>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</si>
  <si>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</si>
  <si>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</si>
  <si>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</si>
  <si>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</si>
  <si>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</si>
  <si>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</si>
  <si>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</si>
  <si>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</si>
  <si>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</si>
  <si>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</si>
  <si>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</si>
  <si>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</si>
  <si>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</si>
  <si>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</si>
  <si>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</si>
  <si>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</si>
  <si>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</si>
  <si>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</si>
  <si>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</si>
  <si>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</si>
  <si>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</si>
  <si>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</si>
  <si>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</si>
  <si>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</si>
  <si>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</si>
  <si>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</si>
  <si>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</si>
  <si>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</si>
  <si>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</si>
  <si>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</si>
  <si>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</si>
  <si>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</si>
  <si>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</si>
  <si>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</si>
  <si>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</si>
  <si>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</si>
  <si>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</si>
  <si>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</si>
  <si>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</si>
  <si>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</si>
  <si>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</si>
  <si>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</si>
  <si>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</si>
  <si>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</si>
  <si>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</si>
  <si>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</si>
  <si>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</si>
  <si>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</si>
  <si>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</si>
  <si>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</si>
  <si>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</si>
  <si>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</si>
  <si>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</si>
  <si>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</si>
  <si>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</si>
  <si>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</si>
  <si>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</si>
  <si>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</si>
  <si>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</si>
  <si>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</si>
  <si>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</si>
  <si>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</si>
  <si>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</si>
  <si>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</si>
  <si>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</si>
  <si>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</si>
  <si>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</si>
  <si>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</si>
  <si>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</si>
  <si>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</si>
  <si>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</si>
  <si>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</si>
  <si>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</si>
  <si>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</si>
  <si>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</si>
  <si>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</si>
  <si>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</si>
  <si>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</si>
  <si>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</si>
  <si>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</si>
  <si>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</si>
  <si>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</si>
  <si>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</si>
  <si>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</si>
  <si>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</si>
  <si>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</si>
  <si>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</si>
  <si>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</si>
  <si>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</si>
  <si>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</si>
  <si>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</si>
  <si>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</si>
  <si>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</si>
  <si>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</si>
  <si>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</si>
  <si>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</si>
  <si>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</si>
  <si>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</si>
  <si>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</si>
  <si>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</si>
  <si>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</si>
  <si>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</si>
  <si>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</si>
  <si>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</si>
  <si>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</si>
  <si>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</si>
  <si>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</si>
  <si>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</si>
  <si>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</si>
  <si>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</si>
  <si>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</si>
  <si>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</si>
  <si>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</si>
  <si>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</si>
  <si>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</si>
  <si>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</si>
  <si>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</si>
  <si>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</si>
  <si>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</si>
  <si>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</si>
  <si>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</si>
  <si>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</si>
  <si>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</si>
  <si>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</si>
  <si>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</si>
  <si>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</si>
  <si>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</si>
  <si>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</si>
  <si>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</si>
  <si>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</si>
  <si>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</si>
  <si>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</si>
  <si>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</si>
  <si>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</si>
  <si>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</si>
  <si>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</si>
  <si>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</si>
  <si>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</si>
  <si>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</si>
  <si>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</si>
  <si>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</si>
  <si>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</si>
  <si>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</si>
  <si>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</si>
  <si>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</si>
  <si>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</si>
  <si>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</si>
  <si>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</si>
  <si>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</si>
  <si>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</si>
  <si>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</si>
  <si>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</si>
  <si>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</si>
  <si>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</si>
  <si>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</si>
  <si>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</si>
  <si>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</si>
  <si>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</si>
  <si>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</si>
  <si>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</si>
  <si>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</si>
  <si>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</si>
  <si>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</si>
  <si>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</si>
  <si>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</si>
  <si>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</si>
  <si>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</si>
  <si>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</si>
  <si>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</si>
  <si>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</si>
  <si>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</si>
  <si>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</si>
  <si>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</si>
  <si>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</si>
  <si>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</si>
  <si>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</si>
  <si>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</si>
  <si>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</si>
  <si>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Basic Statistics </t>
  </si>
  <si>
    <t>Variable</t>
  </si>
  <si>
    <t>Mean</t>
  </si>
  <si>
    <t>Median</t>
  </si>
  <si>
    <t>Count</t>
  </si>
  <si>
    <t>Unit Price</t>
  </si>
  <si>
    <t>Total Price</t>
  </si>
  <si>
    <t>Items in cart</t>
  </si>
  <si>
    <t>Trend Analysis</t>
  </si>
  <si>
    <t>Row Labels</t>
  </si>
  <si>
    <t>Grand Total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</si>
  <si>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</si>
  <si>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</si>
  <si>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</si>
  <si>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</si>
  <si>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</si>
  <si>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</si>
  <si>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</si>
  <si>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</si>
  <si>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</si>
  <si>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</si>
  <si>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</si>
  <si>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</si>
  <si>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</si>
  <si>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</si>
  <si>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Qtr1</t>
  </si>
  <si>
    <t>Qtr2</t>
  </si>
  <si>
    <t>Qtr3</t>
  </si>
  <si>
    <t>Qtr4</t>
  </si>
  <si>
    <t>Outlier Analysis</t>
  </si>
  <si>
    <t>(Quantity)</t>
  </si>
  <si>
    <t>Q1</t>
  </si>
  <si>
    <t>Q3</t>
  </si>
  <si>
    <t>IQR</t>
  </si>
  <si>
    <t xml:space="preserve">Lower Boundary </t>
  </si>
  <si>
    <t>Upper Boundary</t>
  </si>
  <si>
    <t>Outlier</t>
  </si>
  <si>
    <t>(Unit Price)</t>
  </si>
  <si>
    <t>(Total Price)</t>
  </si>
  <si>
    <t>Key Observations</t>
  </si>
  <si>
    <t>June recorded the highest monthly sales, with total sales of 170,616.13.</t>
  </si>
  <si>
    <t>September recorded the lowest monthly sales, with total sales of 69,321.65.</t>
  </si>
  <si>
    <t>The total sales for the year were 1,264,761.96.</t>
  </si>
  <si>
    <t>Quantity and UnitPrice showed no outliers based on the IQR method.</t>
  </si>
  <si>
    <t>TotalPrice had 8 outliers, indicating a few unusually high transaction values</t>
  </si>
  <si>
    <t>and I highlighted these 8 outliers with light green colour in clean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</si>
</sst>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409]d\-mmm\-yyyy;@"/>
    <numFmt numFmtId="166" formatCode="0.00;[Red]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0" fillId="0" borderId="0" xfId="0" applyFont="1"/>
    <xf numFmtId="0" fontId="5" fillId="7" borderId="0" xfId="0" applyFont="1" applyFill="1"/>
    <xf numFmtId="0" fontId="6" fillId="2" borderId="1" xfId="0" applyFont="1" applyFill="1" applyBorder="1" applyAlignment="1">
      <alignment horizontal="center" vertical="top"/>
    </xf>
    <xf numFmtId="165" fontId="6" fillId="2" borderId="1" xfId="0" applyNumberFormat="1" applyFont="1" applyFill="1" applyBorder="1" applyAlignment="1">
      <alignment horizontal="center" vertical="top"/>
    </xf>
    <xf numFmtId="166" fontId="6" fillId="2" borderId="1" xfId="0" applyNumberFormat="1" applyFont="1" applyFill="1" applyBorder="1" applyAlignment="1">
      <alignment horizontal="center" vertical="top"/>
    </xf>
    <xf numFmtId="166" fontId="6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 (EDA).xlsx]Pivot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layout>
        <c:manualLayout>
          <c:xMode val="edge"/>
          <c:yMode val="edge"/>
          <c:x val="0.35077540106951871"/>
          <c:y val="0.124846282326597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7275245384924"/>
          <c:y val="0.42748196396916355"/>
          <c:w val="0.59860479290295887"/>
          <c:h val="0.4505635486663643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Table'!$B$4:$B$16</c:f>
              <c:numCache>
                <c:formatCode>0.00;[Red]0.00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A-4112-878C-31C41D1C2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529312"/>
        <c:axId val="970803504"/>
      </c:lineChart>
      <c:catAx>
        <c:axId val="11135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03504"/>
        <c:crosses val="autoZero"/>
        <c:auto val="1"/>
        <c:lblAlgn val="ctr"/>
        <c:lblOffset val="100"/>
        <c:noMultiLvlLbl val="0"/>
      </c:catAx>
      <c:valAx>
        <c:axId val="9708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 (EDA).xlsx]Pivot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Table'!$G$4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Table'!$F$5:$F$9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Table'!$G$5:$G$9</c:f>
              <c:numCache>
                <c:formatCode>0.00;[Red]0.00</c:formatCode>
                <c:ptCount val="4"/>
                <c:pt idx="0">
                  <c:v>360498.94000000029</c:v>
                </c:pt>
                <c:pt idx="1">
                  <c:v>414944.77000000048</c:v>
                </c:pt>
                <c:pt idx="2">
                  <c:v>241449.49999999997</c:v>
                </c:pt>
                <c:pt idx="3">
                  <c:v>247868.74999999991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9-4AB6-9EE5-8EA108B2E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 (EDA).xlsx]Pivot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sales perfomance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Table'!$K$5:$K$12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Table'!$L$5:$L$12</c:f>
              <c:numCache>
                <c:formatCode>0.00;[Red]0.00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0-4A48-A968-BA52F2B58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245664"/>
        <c:axId val="970771824"/>
      </c:barChart>
      <c:catAx>
        <c:axId val="11092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71824"/>
        <c:crosses val="autoZero"/>
        <c:auto val="1"/>
        <c:lblAlgn val="ctr"/>
        <c:lblOffset val="100"/>
        <c:noMultiLvlLbl val="0"/>
      </c:catAx>
      <c:valAx>
        <c:axId val="9707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24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 (EDA).xlsx]Pivot 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Quantity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Table'!$O$6:$O$18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Table'!$P$6:$P$18</c:f>
              <c:numCache>
                <c:formatCode>General</c:formatCode>
                <c:ptCount val="12"/>
                <c:pt idx="0">
                  <c:v>328</c:v>
                </c:pt>
                <c:pt idx="1">
                  <c:v>303</c:v>
                </c:pt>
                <c:pt idx="2">
                  <c:v>367</c:v>
                </c:pt>
                <c:pt idx="3">
                  <c:v>320</c:v>
                </c:pt>
                <c:pt idx="4">
                  <c:v>356</c:v>
                </c:pt>
                <c:pt idx="5">
                  <c:v>458</c:v>
                </c:pt>
                <c:pt idx="6">
                  <c:v>243</c:v>
                </c:pt>
                <c:pt idx="7">
                  <c:v>260</c:v>
                </c:pt>
                <c:pt idx="8">
                  <c:v>208</c:v>
                </c:pt>
                <c:pt idx="9">
                  <c:v>241</c:v>
                </c:pt>
                <c:pt idx="10">
                  <c:v>211</c:v>
                </c:pt>
                <c:pt idx="11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C-4410-A555-B2AFF935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864048"/>
        <c:axId val="970798224"/>
      </c:barChart>
      <c:catAx>
        <c:axId val="111986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98224"/>
        <c:crosses val="autoZero"/>
        <c:auto val="1"/>
        <c:lblAlgn val="ctr"/>
        <c:lblOffset val="100"/>
        <c:noMultiLvlLbl val="0"/>
      </c:catAx>
      <c:valAx>
        <c:axId val="9707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6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82551</xdr:colOff>
      <xdr:row>16</xdr:row>
      <xdr:rowOff>127000</xdr:rowOff>
    </xdr:from>
    <xdr:to>
      <xdr:col>4</xdr:col>
      <xdr:colOff>165101</xdr:colOff>
      <xdr:row>29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8B25C0-D076-2195-4512-14A360D1B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76200</xdr:colOff>
      <xdr:row>10</xdr:row>
      <xdr:rowOff>66675</xdr:rowOff>
    </xdr:from>
    <xdr:to>
      <xdr:col>7</xdr:col>
      <xdr:colOff>546100</xdr:colOff>
      <xdr:row>20</xdr:row>
      <xdr:rowOff>133351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26418E-86AA-CA81-1FA3-54B5A5D42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531814</xdr:colOff>
      <xdr:row>13</xdr:row>
      <xdr:rowOff>81203</xdr:rowOff>
    </xdr:from>
    <xdr:to>
      <xdr:col>13</xdr:col>
      <xdr:colOff>428626</xdr:colOff>
      <xdr:row>28</xdr:row>
      <xdr:rowOff>39687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FB2C9F-AAA4-2439-ED5D-E8142C436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546806</xdr:colOff>
      <xdr:row>18</xdr:row>
      <xdr:rowOff>173567</xdr:rowOff>
    </xdr:from>
    <xdr:to>
      <xdr:col>18</xdr:col>
      <xdr:colOff>303389</xdr:colOff>
      <xdr:row>33</xdr:row>
      <xdr:rowOff>134055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81C366-09BF-0ADD-EEF7-D744F1838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1.697685648149" createdVersion="8" refreshedVersion="8" minRefreshableVersion="3" recordCount="1200" xr:uid="{5974FBB1-B20F-4BD3-9464-636C979FAAC5}">
  <cacheSource type="worksheet">
    <worksheetSource ref="A1:N1201" sheet="Clean Data"/>
  </cacheSource>
  <cacheFields count="17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166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6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1.709302546296" createdVersion="8" refreshedVersion="8" minRefreshableVersion="3" recordCount="1200" xr:uid="{15D5B1AE-6B6B-41CA-BD73-E4D4AB48FCD8}">
  <cacheSource type="worksheet">
    <worksheetSource ref="A1:N1201" sheet="Clean Data"/>
  </cacheSource>
  <cacheFields count="17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6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6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s v="Phone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s v="Printer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s v="Phone"/>
    <n v="2"/>
    <n v="134.28"/>
    <s v="904 Main St"/>
    <s v="Gift Card"/>
    <s v="Cancelled"/>
    <s v="TRK61042692"/>
    <n v="2"/>
    <s v="No Coupon"/>
    <s v="Email"/>
    <n v="268.56"/>
  </r>
  <r>
    <s v="ORD200009"/>
    <x v="9"/>
    <s v="C31946"/>
    <s v="Desk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s v="Monitor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s v="Printer"/>
    <n v="1"/>
    <n v="473.96"/>
    <s v="942 Main St"/>
    <s v="Cash"/>
    <s v="Delivered"/>
    <s v="TRK54930938"/>
    <n v="3"/>
    <s v="No Coupon"/>
    <s v="Google"/>
    <n v="473.96"/>
  </r>
  <r>
    <s v="ORD200016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s v="Tablet"/>
    <n v="1"/>
    <n v="423.4"/>
    <s v="382 Main St"/>
    <s v="Debit Card"/>
    <s v="Shipped"/>
    <s v="TRK11972116"/>
    <n v="3"/>
    <s v="No Coupon"/>
    <s v="Referral"/>
    <n v="423.4"/>
  </r>
  <r>
    <s v="ORD200018"/>
    <x v="18"/>
    <s v="C84329"/>
    <s v="Desk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s v="Monitor"/>
    <n v="5"/>
    <n v="224"/>
    <s v="273 Main St"/>
    <s v="Cash"/>
    <s v="Returned"/>
    <s v="TRK59101365"/>
    <n v="9"/>
    <s v="SAVE10"/>
    <s v="Google"/>
    <n v="1120"/>
  </r>
  <r>
    <s v="ORD200020"/>
    <x v="20"/>
    <s v="C54829"/>
    <s v="Chair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s v="Monitor"/>
    <n v="4"/>
    <n v="342.95"/>
    <s v="569 Main St"/>
    <s v="Cash"/>
    <s v="Delivered"/>
    <s v="TRK52646983"/>
    <n v="6"/>
    <s v="No Coupon"/>
    <s v="Google"/>
    <n v="1371.8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s v="Laptop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s v="Laptop"/>
    <n v="5"/>
    <n v="59.55"/>
    <s v="296 Main St"/>
    <s v="Online"/>
    <s v="Delivered"/>
    <s v="TRK80276812"/>
    <n v="6"/>
    <s v="No Coupon"/>
    <s v="Referral"/>
    <n v="297.75"/>
  </r>
  <r>
    <s v="ORD200027"/>
    <x v="27"/>
    <s v="C97593"/>
    <s v="Printer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s v="Phone"/>
    <n v="4"/>
    <n v="160.07"/>
    <s v="568 Main St"/>
    <s v="Online"/>
    <s v="Pending"/>
    <s v="TRK65895539"/>
    <n v="5"/>
    <s v="No Coupon"/>
    <s v="Email"/>
    <n v="640.28"/>
  </r>
  <r>
    <s v="ORD200029"/>
    <x v="28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s v="Monitor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s v="Chair"/>
    <n v="3"/>
    <n v="500.08"/>
    <s v="996 Main St"/>
    <s v="Debit Card"/>
    <s v="Returned"/>
    <s v="TRK31229981"/>
    <n v="6"/>
    <s v="No Coupon"/>
    <s v="Facebook"/>
    <n v="1500.24"/>
  </r>
  <r>
    <s v="ORD200032"/>
    <x v="31"/>
    <s v="C12388"/>
    <s v="Tablet"/>
    <n v="5"/>
    <n v="536.72"/>
    <s v="830 Main St"/>
    <s v="Cash"/>
    <s v="Delivered"/>
    <s v="TRK99261395"/>
    <n v="10"/>
    <s v="No Coupon"/>
    <s v="Email"/>
    <n v="2683.6"/>
  </r>
  <r>
    <s v="ORD200033"/>
    <x v="32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s v="Monitor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35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s v="Desk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s v="Printer"/>
    <n v="2"/>
    <n v="151.66"/>
    <s v="980 Main St"/>
    <s v="Cash"/>
    <s v="Cancelled"/>
    <s v="TRK40772558"/>
    <n v="6"/>
    <s v="No Coupon"/>
    <s v="Instagram"/>
    <n v="303.32"/>
  </r>
  <r>
    <s v="ORD200043"/>
    <x v="41"/>
    <s v="C60572"/>
    <s v="Chair"/>
    <n v="3"/>
    <n v="499.21"/>
    <s v="871 Main St"/>
    <s v="Online"/>
    <s v="Cancelled"/>
    <s v="TRK20351666"/>
    <n v="8"/>
    <s v="No Coupon"/>
    <s v="Instagram"/>
    <n v="1497.63"/>
  </r>
  <r>
    <s v="ORD200044"/>
    <x v="42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s v="Desk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s v="Monitor"/>
    <n v="2"/>
    <n v="80.77"/>
    <s v="464 Main St"/>
    <s v="Debit Card"/>
    <s v="Shipped"/>
    <s v="TRK38938858"/>
    <n v="4"/>
    <s v="No Coupon"/>
    <s v="Google"/>
    <n v="161.54"/>
  </r>
  <r>
    <s v="ORD200049"/>
    <x v="47"/>
    <s v="C11985"/>
    <s v="Printer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s v="Tablet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s v="Phone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s v="Chair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s v="Printer"/>
    <n v="3"/>
    <n v="344.4"/>
    <s v="565 Main St"/>
    <s v="Online"/>
    <s v="Cancelled"/>
    <s v="TRK67434829"/>
    <n v="3"/>
    <s v="No Coupon"/>
    <s v="Facebook"/>
    <n v="1033.2"/>
  </r>
  <r>
    <s v="ORD200056"/>
    <x v="54"/>
    <s v="C54298"/>
    <s v="Tablet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s v="Printer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s v="Phone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s v="Chair"/>
    <n v="4"/>
    <n v="593.27"/>
    <s v="811 Main St"/>
    <s v="Online"/>
    <s v="Shipped"/>
    <s v="TRK47055028"/>
    <n v="5"/>
    <s v="No Coupon"/>
    <s v="Facebook"/>
    <n v="2373.08"/>
  </r>
  <r>
    <s v="ORD200060"/>
    <x v="58"/>
    <s v="C39256"/>
    <s v="Desk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s v="Desk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s v="Desk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s v="Monitor"/>
    <n v="5"/>
    <n v="81.7"/>
    <s v="385 Main St"/>
    <s v="Credit Card"/>
    <s v="Delivered"/>
    <s v="TRK13743703"/>
    <n v="6"/>
    <s v="No Coupon"/>
    <s v="Instagram"/>
    <n v="408.5"/>
  </r>
  <r>
    <s v="ORD200066"/>
    <x v="64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s v="Printer"/>
    <n v="4"/>
    <n v="12.1"/>
    <s v="440 Main St"/>
    <s v="Debit Card"/>
    <s v="Cancelled"/>
    <s v="TRK55105323"/>
    <n v="8"/>
    <s v="No Coupon"/>
    <s v="Google"/>
    <n v="48.4"/>
  </r>
  <r>
    <s v="ORD200068"/>
    <x v="66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s v="Monitor"/>
    <n v="3"/>
    <n v="478.65"/>
    <s v="552 Main St"/>
    <s v="Online"/>
    <s v="Shipped"/>
    <s v="TRK35241775"/>
    <n v="4"/>
    <s v="No Coupon"/>
    <s v="Referral"/>
    <n v="1435.95"/>
  </r>
  <r>
    <s v="ORD200070"/>
    <x v="68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s v="Monitor"/>
    <n v="3"/>
    <n v="434.45"/>
    <s v="923 Main St"/>
    <s v="Credit Card"/>
    <s v="Pending"/>
    <s v="TRK28252730"/>
    <n v="4"/>
    <s v="No Coupon"/>
    <s v="Referral"/>
    <n v="1303.3499999999999"/>
  </r>
  <r>
    <s v="ORD200072"/>
    <x v="70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71"/>
    <s v="C17269"/>
    <s v="Monitor"/>
    <n v="4"/>
    <n v="433.45"/>
    <s v="129 Main St"/>
    <s v="Gift Card"/>
    <s v="Cancelled"/>
    <s v="TRK79608389"/>
    <n v="4"/>
    <s v="No Coupon"/>
    <s v="Facebook"/>
    <n v="1733.8"/>
  </r>
  <r>
    <s v="ORD200074"/>
    <x v="72"/>
    <s v="C25382"/>
    <s v="Phone"/>
    <n v="5"/>
    <n v="90.87"/>
    <s v="622 Main St"/>
    <s v="Cash"/>
    <s v="Pending"/>
    <s v="TRK64691287"/>
    <n v="5"/>
    <s v="No Coupon"/>
    <s v="Instagram"/>
    <n v="454.35"/>
  </r>
  <r>
    <s v="ORD200075"/>
    <x v="73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s v="Laptop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s v="Phone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76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s v="Tablet"/>
    <n v="2"/>
    <n v="311.91000000000003"/>
    <s v="103 Main St"/>
    <s v="Online"/>
    <s v="Shipped"/>
    <s v="TRK13036341"/>
    <n v="2"/>
    <s v="No Coupon"/>
    <s v="Facebook"/>
    <n v="623.82000000000005"/>
  </r>
  <r>
    <s v="ORD200080"/>
    <x v="78"/>
    <s v="C29041"/>
    <s v="Phone"/>
    <n v="3"/>
    <n v="589.55999999999995"/>
    <s v="591 Main St"/>
    <s v="Online"/>
    <s v="Returned"/>
    <s v="TRK28840655"/>
    <n v="6"/>
    <s v="No Coupon"/>
    <s v="Facebook"/>
    <n v="1768.68"/>
  </r>
  <r>
    <s v="ORD200081"/>
    <x v="79"/>
    <s v="C29314"/>
    <s v="Monitor"/>
    <n v="2"/>
    <n v="394.3"/>
    <s v="496 Main St"/>
    <s v="Cash"/>
    <s v="Shipped"/>
    <s v="TRK59876213"/>
    <n v="6"/>
    <s v="FREESHIP"/>
    <s v="Email"/>
    <n v="788.6"/>
  </r>
  <r>
    <s v="ORD200082"/>
    <x v="8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s v="Laptop"/>
    <n v="4"/>
    <n v="540.41"/>
    <s v="989 Main St"/>
    <s v="Credit Card"/>
    <s v="Cancelled"/>
    <s v="TRK75112172"/>
    <n v="6"/>
    <s v="No Coupon"/>
    <s v="Referral"/>
    <n v="2161.64"/>
  </r>
  <r>
    <s v="ORD200084"/>
    <x v="81"/>
    <s v="C64160"/>
    <s v="Monitor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s v="Tablet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s v="Desk"/>
    <n v="3"/>
    <n v="114.81"/>
    <s v="318 Main St"/>
    <s v="Gift Card"/>
    <s v="Cancelled"/>
    <s v="TRK19831653"/>
    <n v="7"/>
    <s v="No Coupon"/>
    <s v="Google"/>
    <n v="344.43"/>
  </r>
  <r>
    <s v="ORD200089"/>
    <x v="86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s v="Chair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s v="Laptop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s v="Printer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s v="Desk"/>
    <n v="4"/>
    <n v="431.01"/>
    <s v="837 Main St"/>
    <s v="Credit Card"/>
    <s v="Returned"/>
    <s v="TRK65990229"/>
    <n v="7"/>
    <s v="No Coupon"/>
    <s v="Referral"/>
    <n v="1724.04"/>
  </r>
  <r>
    <s v="ORD200094"/>
    <x v="9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s v="Printer"/>
    <n v="4"/>
    <n v="117.51"/>
    <s v="839 Main St"/>
    <s v="Debit Card"/>
    <s v="Returned"/>
    <s v="TRK60179774"/>
    <n v="7"/>
    <s v="No Coupon"/>
    <s v="Referral"/>
    <n v="470.04"/>
  </r>
  <r>
    <s v="ORD200096"/>
    <x v="93"/>
    <s v="C93007"/>
    <s v="Phone"/>
    <n v="2"/>
    <n v="232.83"/>
    <s v="103 Main St"/>
    <s v="Gift Card"/>
    <s v="Delivered"/>
    <s v="TRK85696091"/>
    <n v="7"/>
    <s v="No Coupon"/>
    <s v="Instagram"/>
    <n v="465.66"/>
  </r>
  <r>
    <s v="ORD200097"/>
    <x v="94"/>
    <s v="C15624"/>
    <s v="Tablet"/>
    <n v="5"/>
    <n v="619.52"/>
    <s v="922 Main St"/>
    <s v="Debit Card"/>
    <s v="Pending"/>
    <s v="TRK40621141"/>
    <n v="9"/>
    <s v="No Coupon"/>
    <s v="Email"/>
    <n v="3097.6"/>
  </r>
  <r>
    <s v="ORD200098"/>
    <x v="90"/>
    <s v="C70921"/>
    <s v="Printer"/>
    <n v="2"/>
    <n v="228.54"/>
    <s v="533 Main St"/>
    <s v="Debit Card"/>
    <s v="Pending"/>
    <s v="TRK54983109"/>
    <n v="3"/>
    <s v="No Coupon"/>
    <s v="Email"/>
    <n v="457.08"/>
  </r>
  <r>
    <s v="ORD200099"/>
    <x v="95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s v="Phone"/>
    <n v="3"/>
    <n v="664.79"/>
    <s v="743 Main St"/>
    <s v="Online"/>
    <s v="Delivered"/>
    <s v="TRK53783265"/>
    <n v="6"/>
    <s v="No Coupon"/>
    <s v="Facebook"/>
    <n v="1994.37"/>
  </r>
  <r>
    <s v="ORD200101"/>
    <x v="97"/>
    <s v="C15283"/>
    <s v="Printer"/>
    <n v="1"/>
    <n v="381.02"/>
    <s v="152 Main St"/>
    <s v="Cash"/>
    <s v="Shipped"/>
    <s v="TRK19286291"/>
    <n v="6"/>
    <s v="No Coupon"/>
    <s v="Google"/>
    <n v="381.02"/>
  </r>
  <r>
    <s v="ORD200102"/>
    <x v="98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s v="Phone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s v="Phone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s v="Printer"/>
    <n v="3"/>
    <n v="185.4"/>
    <s v="810 Main St"/>
    <s v="Gift Card"/>
    <s v="Cancelled"/>
    <s v="TRK68792129"/>
    <n v="7"/>
    <s v="No Coupon"/>
    <s v="Facebook"/>
    <n v="556.20000000000005"/>
  </r>
  <r>
    <s v="ORD200106"/>
    <x v="102"/>
    <s v="C73514"/>
    <s v="Desk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s v="Laptop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s v="Monitor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s v="Monitor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s v="Phone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s v="Desk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s v="Laptop"/>
    <n v="2"/>
    <n v="533.02"/>
    <s v="588 Main St"/>
    <s v="Gift Card"/>
    <s v="Shipped"/>
    <s v="TRK30422853"/>
    <n v="2"/>
    <s v="No Coupon"/>
    <s v="Facebook"/>
    <n v="1066.04"/>
  </r>
  <r>
    <s v="ORD200123"/>
    <x v="117"/>
    <s v="C86064"/>
    <s v="Desk"/>
    <n v="3"/>
    <n v="278.04000000000002"/>
    <s v="727 Main St"/>
    <s v="Online"/>
    <s v="Delivered"/>
    <s v="TRK62182901"/>
    <n v="5"/>
    <s v="No Coupon"/>
    <s v="Instagram"/>
    <n v="834.12000000000012"/>
  </r>
  <r>
    <s v="ORD200124"/>
    <x v="118"/>
    <s v="C97148"/>
    <s v="Printer"/>
    <n v="4"/>
    <n v="283.79000000000002"/>
    <s v="563 Main St"/>
    <s v="Online"/>
    <s v="Pending"/>
    <s v="TRK85321126"/>
    <n v="8"/>
    <s v="No Coupon"/>
    <s v="Google"/>
    <n v="1135.1600000000001"/>
  </r>
  <r>
    <s v="ORD200125"/>
    <x v="119"/>
    <s v="C91099"/>
    <s v="Phone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s v="Desk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s v="Desk"/>
    <n v="3"/>
    <n v="469.32"/>
    <s v="365 Main St"/>
    <s v="Debit Card"/>
    <s v="Shipped"/>
    <s v="TRK73929833"/>
    <n v="3"/>
    <s v="No Coupon"/>
    <s v="Google"/>
    <n v="1407.96"/>
  </r>
  <r>
    <s v="ORD200128"/>
    <x v="96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s v="Desk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s v="Tablet"/>
    <n v="1"/>
    <n v="84.8"/>
    <s v="606 Main St"/>
    <s v="Gift Card"/>
    <s v="Pending"/>
    <s v="TRK51648833"/>
    <n v="5"/>
    <s v="No Coupon"/>
    <s v="Instagram"/>
    <n v="84.8"/>
  </r>
  <r>
    <s v="ORD200132"/>
    <x v="125"/>
    <s v="C96257"/>
    <s v="Tablet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s v="Chair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s v="Laptop"/>
    <n v="2"/>
    <n v="199.7"/>
    <s v="583 Main St"/>
    <s v="Cash"/>
    <s v="Pending"/>
    <s v="TRK17354894"/>
    <n v="4"/>
    <s v="No Coupon"/>
    <s v="Email"/>
    <n v="399.4"/>
  </r>
  <r>
    <s v="ORD200135"/>
    <x v="128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s v="Monitor"/>
    <n v="2"/>
    <n v="250.98"/>
    <s v="598 Main St"/>
    <s v="Credit Card"/>
    <s v="Delivered"/>
    <s v="TRK12242337"/>
    <n v="5"/>
    <s v="No Coupon"/>
    <s v="Google"/>
    <n v="501.96"/>
  </r>
  <r>
    <s v="ORD200138"/>
    <x v="131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s v="Phone"/>
    <n v="1"/>
    <n v="583.9"/>
    <s v="714 Main St"/>
    <s v="Cash"/>
    <s v="Returned"/>
    <s v="TRK33114521"/>
    <n v="1"/>
    <s v="No Coupon"/>
    <s v="Email"/>
    <n v="583.9"/>
  </r>
  <r>
    <s v="ORD200140"/>
    <x v="133"/>
    <s v="C33110"/>
    <s v="Chair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s v="Desk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s v="Chair"/>
    <n v="4"/>
    <n v="400.07"/>
    <s v="933 Main St"/>
    <s v="Online"/>
    <s v="Shipped"/>
    <s v="TRK34654244"/>
    <n v="5"/>
    <s v="No Coupon"/>
    <s v="Referral"/>
    <n v="1600.28"/>
  </r>
  <r>
    <s v="ORD200144"/>
    <x v="128"/>
    <s v="C63365"/>
    <s v="Desk"/>
    <n v="5"/>
    <n v="219.78"/>
    <s v="895 Main St"/>
    <s v="Credit Card"/>
    <s v="Pending"/>
    <s v="TRK80100887"/>
    <n v="8"/>
    <s v="No Coupon"/>
    <s v="Facebook"/>
    <n v="1098.9000000000001"/>
  </r>
  <r>
    <s v="ORD200145"/>
    <x v="17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s v="Tablet"/>
    <n v="2"/>
    <n v="411.49"/>
    <s v="404 Main St"/>
    <s v="Credit Card"/>
    <s v="Returned"/>
    <s v="TRK68893369"/>
    <n v="4"/>
    <s v="No Coupon"/>
    <s v="Instagram"/>
    <n v="822.98"/>
  </r>
  <r>
    <s v="ORD200147"/>
    <x v="138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s v="Laptop"/>
    <n v="1"/>
    <n v="217.56"/>
    <s v="174 Main St"/>
    <s v="Debit Card"/>
    <s v="Delivered"/>
    <s v="TRK47153818"/>
    <n v="3"/>
    <s v="No Coupon"/>
    <s v="Facebook"/>
    <n v="217.56"/>
  </r>
  <r>
    <s v="ORD200150"/>
    <x v="141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s v="Printer"/>
    <n v="5"/>
    <n v="444.76"/>
    <s v="947 Main St"/>
    <s v="Debit Card"/>
    <s v="Returned"/>
    <s v="TRK91226500"/>
    <n v="7"/>
    <s v="No Coupon"/>
    <s v="Email"/>
    <n v="2223.8000000000002"/>
  </r>
  <r>
    <s v="ORD200152"/>
    <x v="143"/>
    <s v="C77736"/>
    <s v="Chair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s v="Phone"/>
    <n v="4"/>
    <n v="408.21"/>
    <s v="727 Main St"/>
    <s v="Credit Card"/>
    <s v="Pending"/>
    <s v="TRK13955543"/>
    <n v="9"/>
    <s v="No Coupon"/>
    <s v="Instagram"/>
    <n v="1632.84"/>
  </r>
  <r>
    <s v="ORD200155"/>
    <x v="146"/>
    <s v="C62740"/>
    <s v="Phone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s v="Chair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s v="Monitor"/>
    <n v="4"/>
    <n v="101.32"/>
    <s v="240 Main St"/>
    <s v="Cash"/>
    <s v="Pending"/>
    <s v="TRK81738254"/>
    <n v="7"/>
    <s v="No Coupon"/>
    <s v="Referral"/>
    <n v="405.28"/>
  </r>
  <r>
    <s v="ORD200161"/>
    <x v="151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s v="Chair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s v="Tablet"/>
    <n v="1"/>
    <n v="641.39"/>
    <s v="277 Main St"/>
    <s v="Online"/>
    <s v="Cancelled"/>
    <s v="TRK16695001"/>
    <n v="1"/>
    <s v="No Coupon"/>
    <s v="Referral"/>
    <n v="641.39"/>
  </r>
  <r>
    <s v="ORD200164"/>
    <x v="153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s v="Monitor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s v="Chair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s v="Chair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s v="Printer"/>
    <n v="1"/>
    <n v="594.96"/>
    <s v="878 Main St"/>
    <s v="Cash"/>
    <s v="Returned"/>
    <s v="TRK78551375"/>
    <n v="6"/>
    <s v="No Coupon"/>
    <s v="Facebook"/>
    <n v="594.96"/>
  </r>
  <r>
    <s v="ORD200169"/>
    <x v="158"/>
    <s v="C35785"/>
    <s v="Printer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s v="Desk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s v="Chair"/>
    <n v="5"/>
    <n v="431.69"/>
    <s v="354 Main St"/>
    <s v="Credit Card"/>
    <s v="Pending"/>
    <s v="TRK13003066"/>
    <n v="10"/>
    <s v="No Coupon"/>
    <s v="Facebook"/>
    <n v="2158.4499999999998"/>
  </r>
  <r>
    <s v="ORD200178"/>
    <x v="16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s v="Laptop"/>
    <n v="3"/>
    <n v="539.91"/>
    <s v="500 Main St"/>
    <s v="Credit Card"/>
    <s v="Delivered"/>
    <s v="TRK14332053"/>
    <n v="8"/>
    <s v="No Coupon"/>
    <s v="Email"/>
    <n v="1619.73"/>
  </r>
  <r>
    <s v="ORD200180"/>
    <x v="168"/>
    <s v="C87216"/>
    <s v="Tablet"/>
    <n v="5"/>
    <n v="316.07"/>
    <s v="970 Main St"/>
    <s v="Cash"/>
    <s v="Returned"/>
    <s v="TRK18713727"/>
    <n v="10"/>
    <s v="No Coupon"/>
    <s v="Google"/>
    <n v="1580.35"/>
  </r>
  <r>
    <s v="ORD200181"/>
    <x v="169"/>
    <s v="C38966"/>
    <s v="Printer"/>
    <n v="5"/>
    <n v="404.39"/>
    <s v="247 Main St"/>
    <s v="Online"/>
    <s v="Shipped"/>
    <s v="TRK17205146"/>
    <n v="10"/>
    <s v="No Coupon"/>
    <s v="Referral"/>
    <n v="2021.95"/>
  </r>
  <r>
    <s v="ORD200182"/>
    <x v="170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s v="Tablet"/>
    <n v="4"/>
    <n v="214.54"/>
    <s v="231 Main St"/>
    <s v="Gift Card"/>
    <s v="Cancelled"/>
    <s v="TRK39255469"/>
    <n v="7"/>
    <s v="No Coupon"/>
    <s v="Referral"/>
    <n v="858.16"/>
  </r>
  <r>
    <s v="ORD200185"/>
    <x v="61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s v="Printer"/>
    <n v="1"/>
    <n v="46.66"/>
    <s v="429 Main St"/>
    <s v="Cash"/>
    <s v="Cancelled"/>
    <s v="TRK81320339"/>
    <n v="6"/>
    <s v="No Coupon"/>
    <s v="Google"/>
    <n v="46.66"/>
  </r>
  <r>
    <s v="ORD200194"/>
    <x v="180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s v="Chair"/>
    <n v="3"/>
    <n v="619.21"/>
    <s v="801 Main St"/>
    <s v="Debit Card"/>
    <s v="Cancelled"/>
    <s v="TRK65385674"/>
    <n v="6"/>
    <s v="No Coupon"/>
    <s v="Email"/>
    <n v="1857.63"/>
  </r>
  <r>
    <s v="ORD200196"/>
    <x v="182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s v="Desk"/>
    <n v="3"/>
    <n v="147.38999999999999"/>
    <s v="609 Main St"/>
    <s v="Debit Card"/>
    <s v="Returned"/>
    <s v="TRK58357269"/>
    <n v="3"/>
    <s v="No Coupon"/>
    <s v="Email"/>
    <n v="442.17"/>
  </r>
  <r>
    <s v="ORD200206"/>
    <x v="162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s v="Phone"/>
    <n v="1"/>
    <n v="121.96"/>
    <s v="999 Main St"/>
    <s v="Debit Card"/>
    <s v="Delivered"/>
    <s v="TRK44416659"/>
    <n v="3"/>
    <s v="No Coupon"/>
    <s v="Google"/>
    <n v="121.96"/>
  </r>
  <r>
    <s v="ORD200208"/>
    <x v="192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x v="58"/>
    <s v="C29483"/>
    <s v="Desk"/>
    <n v="4"/>
    <n v="305.72000000000003"/>
    <s v="673 Main St"/>
    <s v="Online"/>
    <s v="Delivered"/>
    <s v="TRK89423603"/>
    <n v="5"/>
    <s v="No Coupon"/>
    <s v="Facebook"/>
    <n v="1222.8800000000001"/>
  </r>
  <r>
    <s v="ORD200215"/>
    <x v="12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s v="Desk"/>
    <n v="4"/>
    <n v="321.51"/>
    <s v="908 Main St"/>
    <s v="Cash"/>
    <s v="Returned"/>
    <s v="TRK65596914"/>
    <n v="9"/>
    <s v="No Coupon"/>
    <s v="Google"/>
    <n v="1286.04"/>
  </r>
  <r>
    <s v="ORD200218"/>
    <x v="200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s v="Chair"/>
    <n v="4"/>
    <n v="693.36"/>
    <s v="931 Main St"/>
    <s v="Online"/>
    <s v="Shipped"/>
    <s v="TRK17293348"/>
    <n v="8"/>
    <s v="No Coupon"/>
    <s v="Instagram"/>
    <n v="2773.44"/>
  </r>
  <r>
    <s v="ORD200223"/>
    <x v="57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s v="Desk"/>
    <n v="3"/>
    <n v="588.04999999999995"/>
    <s v="242 Main St"/>
    <s v="Gift Card"/>
    <s v="Delivered"/>
    <s v="TRK93063929"/>
    <n v="8"/>
    <s v="No Coupon"/>
    <s v="Instagram"/>
    <n v="1764.15"/>
  </r>
  <r>
    <s v="ORD200227"/>
    <x v="208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s v="Chair"/>
    <n v="4"/>
    <n v="385.92"/>
    <s v="579 Main St"/>
    <s v="Credit Card"/>
    <s v="Cancelled"/>
    <s v="TRK92055007"/>
    <n v="8"/>
    <s v="No Coupon"/>
    <s v="Instagram"/>
    <n v="1543.68"/>
  </r>
  <r>
    <s v="ORD200229"/>
    <x v="210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s v="Laptop"/>
    <n v="1"/>
    <n v="223.3"/>
    <s v="306 Main St"/>
    <s v="Online"/>
    <s v="Returned"/>
    <s v="TRK25390491"/>
    <n v="1"/>
    <s v="No Coupon"/>
    <s v="Facebook"/>
    <n v="223.3"/>
  </r>
  <r>
    <s v="ORD200246"/>
    <x v="225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s v="Printer"/>
    <n v="2"/>
    <n v="220.9"/>
    <s v="785 Main St"/>
    <s v="Gift Card"/>
    <s v="Shipped"/>
    <s v="TRK84984764"/>
    <n v="4"/>
    <s v="No Coupon"/>
    <s v="Email"/>
    <n v="441.8"/>
  </r>
  <r>
    <s v="ORD200248"/>
    <x v="226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s v="Monitor"/>
    <n v="4"/>
    <n v="14.69"/>
    <s v="814 Main St"/>
    <s v="Cash"/>
    <s v="Cancelled"/>
    <s v="TRK32995144"/>
    <n v="9"/>
    <s v="No Coupon"/>
    <s v="Email"/>
    <n v="58.76"/>
  </r>
  <r>
    <s v="ORD200252"/>
    <x v="28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s v="Monitor"/>
    <n v="3"/>
    <n v="263.19"/>
    <s v="770 Main St"/>
    <s v="Online"/>
    <s v="Delivered"/>
    <s v="TRK34809583"/>
    <n v="5"/>
    <s v="No Coupon"/>
    <s v="Instagram"/>
    <n v="789.56999999999994"/>
  </r>
  <r>
    <s v="ORD200255"/>
    <x v="232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s v="Monitor"/>
    <n v="2"/>
    <n v="407.79"/>
    <s v="153 Main St"/>
    <s v="Debit Card"/>
    <s v="Shipped"/>
    <s v="TRK22000463"/>
    <n v="3"/>
    <s v="No Coupon"/>
    <s v="Google"/>
    <n v="815.58"/>
  </r>
  <r>
    <s v="ORD200261"/>
    <x v="237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s v="Chair"/>
    <n v="5"/>
    <n v="468.51"/>
    <s v="803 Main St"/>
    <s v="Debit Card"/>
    <s v="Delivered"/>
    <s v="TRK62361867"/>
    <n v="9"/>
    <s v="No Coupon"/>
    <s v="Facebook"/>
    <n v="2342.5500000000002"/>
  </r>
  <r>
    <s v="ORD200268"/>
    <x v="178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s v="Desk"/>
    <n v="4"/>
    <n v="654.79"/>
    <s v="195 Main St"/>
    <s v="Cash"/>
    <s v="Pending"/>
    <s v="TRK60093390"/>
    <n v="9"/>
    <s v="No Coupon"/>
    <s v="Referral"/>
    <n v="2619.16"/>
  </r>
  <r>
    <s v="ORD200282"/>
    <x v="251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s v="Laptop"/>
    <n v="4"/>
    <n v="540.33000000000004"/>
    <s v="990 Main St"/>
    <s v="Cash"/>
    <s v="Shipped"/>
    <s v="TRK69745608"/>
    <n v="6"/>
    <s v="No Coupon"/>
    <s v="Google"/>
    <n v="2161.3200000000002"/>
  </r>
  <r>
    <s v="ORD200284"/>
    <x v="223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s v="Phone"/>
    <n v="1"/>
    <n v="338.31"/>
    <s v="974 Main St"/>
    <s v="Online"/>
    <s v="Delivered"/>
    <s v="TRK93281700"/>
    <n v="3"/>
    <s v="No Coupon"/>
    <s v="Google"/>
    <n v="338.31"/>
  </r>
  <r>
    <s v="ORD200286"/>
    <x v="253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s v="Chair"/>
    <n v="4"/>
    <n v="655.17999999999995"/>
    <s v="630 Main St"/>
    <s v="Online"/>
    <s v="Shipped"/>
    <s v="TRK26628830"/>
    <n v="5"/>
    <s v="No Coupon"/>
    <s v="Facebook"/>
    <n v="2620.7199999999998"/>
  </r>
  <r>
    <s v="ORD200288"/>
    <x v="255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s v="Monitor"/>
    <n v="1"/>
    <n v="65.95"/>
    <s v="185 Main St"/>
    <s v="Credit Card"/>
    <s v="Delivered"/>
    <s v="TRK31042152"/>
    <n v="5"/>
    <s v="No Coupon"/>
    <s v="Facebook"/>
    <n v="65.95"/>
  </r>
  <r>
    <s v="ORD200293"/>
    <x v="223"/>
    <s v="C33220"/>
    <s v="Tablet"/>
    <n v="4"/>
    <n v="463.04"/>
    <s v="564 Main St"/>
    <s v="Gift Card"/>
    <s v="Returned"/>
    <s v="TRK40450219"/>
    <n v="9"/>
    <s v="No Coupon"/>
    <s v="Instagram"/>
    <n v="1852.16"/>
  </r>
  <r>
    <s v="ORD200294"/>
    <x v="26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s v="Printer"/>
    <n v="4"/>
    <n v="301.17"/>
    <s v="267 Main St"/>
    <s v="Online"/>
    <s v="Cancelled"/>
    <s v="TRK97825212"/>
    <n v="6"/>
    <s v="No Coupon"/>
    <s v="Email"/>
    <n v="1204.68"/>
  </r>
  <r>
    <s v="ORD200299"/>
    <x v="26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s v="Tablet"/>
    <n v="1"/>
    <n v="30.54"/>
    <s v="368 Main St"/>
    <s v="Debit Card"/>
    <s v="Returned"/>
    <s v="TRK95462192"/>
    <n v="1"/>
    <s v="No Coupon"/>
    <s v="Google"/>
    <n v="30.54"/>
  </r>
  <r>
    <s v="ORD200304"/>
    <x v="266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s v="Laptop"/>
    <n v="3"/>
    <n v="557.41"/>
    <s v="135 Main St"/>
    <s v="Online"/>
    <s v="Delivered"/>
    <s v="TRK11755610"/>
    <n v="4"/>
    <s v="No Coupon"/>
    <s v="Email"/>
    <n v="1672.23"/>
  </r>
  <r>
    <s v="ORD200308"/>
    <x v="66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s v="Printer"/>
    <n v="3"/>
    <n v="132.47999999999999"/>
    <s v="968 Main St"/>
    <s v="Online"/>
    <s v="Shipped"/>
    <s v="TRK16094218"/>
    <n v="4"/>
    <s v="No Coupon"/>
    <s v="Referral"/>
    <n v="397.43999999999988"/>
  </r>
  <r>
    <s v="ORD200311"/>
    <x v="271"/>
    <s v="C71698"/>
    <s v="Desk"/>
    <n v="5"/>
    <n v="489.37"/>
    <s v="274 Main St"/>
    <s v="Online"/>
    <s v="Returned"/>
    <s v="TRK34786818"/>
    <n v="8"/>
    <s v="No Coupon"/>
    <s v="Instagram"/>
    <n v="2446.85"/>
  </r>
  <r>
    <s v="ORD200312"/>
    <x v="272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s v="Monitor"/>
    <n v="2"/>
    <n v="139.94999999999999"/>
    <s v="339 Main St"/>
    <s v="Online"/>
    <s v="Returned"/>
    <s v="TRK22575151"/>
    <n v="5"/>
    <s v="No Coupon"/>
    <s v="Instagram"/>
    <n v="279.89999999999998"/>
  </r>
  <r>
    <s v="ORD200318"/>
    <x v="277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s v="Laptop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36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s v="Tablet"/>
    <n v="3"/>
    <n v="70.930000000000007"/>
    <s v="847 Main St"/>
    <s v="Debit Card"/>
    <s v="Returned"/>
    <s v="TRK70193221"/>
    <n v="5"/>
    <s v="No Coupon"/>
    <s v="Referral"/>
    <n v="212.79"/>
  </r>
  <r>
    <s v="ORD200325"/>
    <x v="282"/>
    <s v="C53545"/>
    <s v="Desk"/>
    <n v="3"/>
    <n v="361.39"/>
    <s v="665 Main St"/>
    <s v="Credit Card"/>
    <s v="Shipped"/>
    <s v="TRK61123177"/>
    <n v="8"/>
    <s v="No Coupon"/>
    <s v="Referral"/>
    <n v="1084.17"/>
  </r>
  <r>
    <s v="ORD200326"/>
    <x v="283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s v="Chair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287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s v="Tablet"/>
    <n v="3"/>
    <n v="205.86"/>
    <s v="978 Main St"/>
    <s v="Gift Card"/>
    <s v="Shipped"/>
    <s v="TRK34801199"/>
    <n v="4"/>
    <s v="No Coupon"/>
    <s v="Email"/>
    <n v="617.58000000000004"/>
  </r>
  <r>
    <s v="ORD200336"/>
    <x v="10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s v="Phone"/>
    <n v="5"/>
    <n v="305.49"/>
    <s v="704 Main St"/>
    <s v="Debit Card"/>
    <s v="Shipped"/>
    <s v="TRK64112352"/>
    <n v="10"/>
    <s v="No Coupon"/>
    <s v="Referral"/>
    <n v="1527.45"/>
  </r>
  <r>
    <s v="ORD200339"/>
    <x v="294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s v="Laptop"/>
    <n v="5"/>
    <n v="521.25"/>
    <s v="826 Main St"/>
    <s v="Cash"/>
    <s v="Cancelled"/>
    <s v="TRK25569378"/>
    <n v="8"/>
    <s v="No Coupon"/>
    <s v="Email"/>
    <n v="2606.25"/>
  </r>
  <r>
    <s v="ORD200341"/>
    <x v="296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s v="Monitor"/>
    <n v="5"/>
    <n v="466.42"/>
    <s v="619 Main St"/>
    <s v="Gift Card"/>
    <s v="Returned"/>
    <s v="TRK95935805"/>
    <n v="5"/>
    <s v="No Coupon"/>
    <s v="Referral"/>
    <n v="2332.1"/>
  </r>
  <r>
    <s v="ORD200343"/>
    <x v="297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s v="Tablet"/>
    <n v="1"/>
    <n v="655.09"/>
    <s v="876 Main St"/>
    <s v="Cash"/>
    <s v="Pending"/>
    <s v="TRK44680433"/>
    <n v="6"/>
    <s v="No Coupon"/>
    <s v="Referral"/>
    <n v="655.09"/>
  </r>
  <r>
    <s v="ORD200347"/>
    <x v="3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s v="Chair"/>
    <n v="2"/>
    <n v="54.41"/>
    <s v="495 Main St"/>
    <s v="Online"/>
    <s v="Shipped"/>
    <s v="TRK60127216"/>
    <n v="6"/>
    <s v="No Coupon"/>
    <s v="Instagram"/>
    <n v="108.82"/>
  </r>
  <r>
    <s v="ORD200351"/>
    <x v="302"/>
    <s v="C94248"/>
    <s v="Laptop"/>
    <n v="1"/>
    <n v="64.66"/>
    <s v="494 Main St"/>
    <s v="Debit Card"/>
    <s v="Delivered"/>
    <s v="TRK89406816"/>
    <n v="4"/>
    <s v="No Coupon"/>
    <s v="Instagram"/>
    <n v="64.66"/>
  </r>
  <r>
    <s v="ORD200352"/>
    <x v="303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s v="Phone"/>
    <n v="1"/>
    <n v="693.41"/>
    <s v="992 Main St"/>
    <s v="Debit Card"/>
    <s v="Shipped"/>
    <s v="TRK11970357"/>
    <n v="4"/>
    <s v="No Coupon"/>
    <s v="Instagram"/>
    <n v="693.41"/>
  </r>
  <r>
    <s v="ORD200355"/>
    <x v="305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s v="Phone"/>
    <n v="4"/>
    <n v="589.57000000000005"/>
    <s v="779 Main St"/>
    <s v="Cash"/>
    <s v="Pending"/>
    <s v="TRK34630612"/>
    <n v="8"/>
    <s v="No Coupon"/>
    <s v="Instagram"/>
    <n v="2358.2800000000002"/>
  </r>
  <r>
    <s v="ORD200361"/>
    <x v="310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s v="Printer"/>
    <n v="3"/>
    <n v="602.24"/>
    <s v="603 Main St"/>
    <s v="Debit Card"/>
    <s v="Pending"/>
    <s v="TRK40630538"/>
    <n v="8"/>
    <s v="No Coupon"/>
    <s v="Referral"/>
    <n v="1806.72"/>
  </r>
  <r>
    <s v="ORD200367"/>
    <x v="313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s v="Monitor"/>
    <n v="3"/>
    <n v="271.02"/>
    <s v="403 Main St"/>
    <s v="Credit Card"/>
    <s v="Cancelled"/>
    <s v="TRK89728869"/>
    <n v="6"/>
    <s v="No Coupon"/>
    <s v="Google"/>
    <n v="813.06"/>
  </r>
  <r>
    <s v="ORD200369"/>
    <x v="70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s v="Chair"/>
    <n v="3"/>
    <n v="483.53"/>
    <s v="166 Main St"/>
    <s v="Cash"/>
    <s v="Returned"/>
    <s v="TRK12123939"/>
    <n v="4"/>
    <s v="No Coupon"/>
    <s v="Referral"/>
    <n v="1450.59"/>
  </r>
  <r>
    <s v="ORD200373"/>
    <x v="315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s v="Phone"/>
    <n v="3"/>
    <n v="297.67"/>
    <s v="500 Main St"/>
    <s v="Online"/>
    <s v="Shipped"/>
    <s v="TRK85756094"/>
    <n v="6"/>
    <s v="No Coupon"/>
    <s v="Google"/>
    <n v="893.01"/>
  </r>
  <r>
    <s v="ORD200380"/>
    <x v="322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s v="Tablet"/>
    <n v="1"/>
    <n v="93.02"/>
    <s v="373 Main St"/>
    <s v="Online"/>
    <s v="Returned"/>
    <s v="TRK32588504"/>
    <n v="4"/>
    <s v="No Coupon"/>
    <s v="Email"/>
    <n v="93.02"/>
  </r>
  <r>
    <s v="ORD200387"/>
    <x v="326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176"/>
    <s v="C70148"/>
    <s v="Desk"/>
    <n v="5"/>
    <n v="529.54999999999995"/>
    <s v="359 Main St"/>
    <s v="Gift Card"/>
    <s v="Shipped"/>
    <s v="TRK34848650"/>
    <n v="10"/>
    <s v="No Coupon"/>
    <s v="Facebook"/>
    <n v="2647.75"/>
  </r>
  <r>
    <s v="ORD200395"/>
    <x v="331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336"/>
    <s v="C83026"/>
    <s v="Printer"/>
    <n v="5"/>
    <n v="337.38"/>
    <s v="858 Main St"/>
    <s v="Gift Card"/>
    <s v="Shipped"/>
    <s v="TRK79746259"/>
    <n v="5"/>
    <s v="No Coupon"/>
    <s v="Referral"/>
    <n v="1686.9"/>
  </r>
  <r>
    <s v="ORD200403"/>
    <x v="337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s v="Monitor"/>
    <n v="2"/>
    <n v="99.1"/>
    <s v="440 Main St"/>
    <s v="Cash"/>
    <s v="Delivered"/>
    <s v="TRK54571699"/>
    <n v="6"/>
    <s v="No Coupon"/>
    <s v="Instagram"/>
    <n v="198.2"/>
  </r>
  <r>
    <s v="ORD200405"/>
    <x v="281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s v="Tablet"/>
    <n v="2"/>
    <n v="518.23"/>
    <s v="184 Main St"/>
    <s v="Debit Card"/>
    <s v="Shipped"/>
    <s v="TRK52470162"/>
    <n v="5"/>
    <s v="No Coupon"/>
    <s v="Email"/>
    <n v="1036.46"/>
  </r>
  <r>
    <s v="ORD200411"/>
    <x v="83"/>
    <s v="C66567"/>
    <s v="Desk"/>
    <n v="2"/>
    <n v="39.51"/>
    <s v="981 Main St"/>
    <s v="Online"/>
    <s v="Shipped"/>
    <s v="TRK21174822"/>
    <n v="5"/>
    <s v="No Coupon"/>
    <s v="Facebook"/>
    <n v="79.02"/>
  </r>
  <r>
    <s v="ORD200412"/>
    <x v="344"/>
    <s v="C42451"/>
    <s v="Tablet"/>
    <n v="5"/>
    <n v="133.01"/>
    <s v="246 Main St"/>
    <s v="Credit Card"/>
    <s v="Returned"/>
    <s v="TRK31313343"/>
    <n v="10"/>
    <s v="No Coupon"/>
    <s v="Facebook"/>
    <n v="665.05"/>
  </r>
  <r>
    <s v="ORD200413"/>
    <x v="345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s v="Laptop"/>
    <n v="5"/>
    <n v="55.41"/>
    <s v="954 Main St"/>
    <s v="Online"/>
    <s v="Cancelled"/>
    <s v="TRK51429869"/>
    <n v="5"/>
    <s v="No Coupon"/>
    <s v="Google"/>
    <n v="277.05"/>
  </r>
  <r>
    <s v="ORD200418"/>
    <x v="348"/>
    <s v="C74169"/>
    <s v="Printer"/>
    <n v="1"/>
    <n v="310.93"/>
    <s v="862 Main St"/>
    <s v="Online"/>
    <s v="Cancelled"/>
    <s v="TRK66144809"/>
    <n v="3"/>
    <s v="No Coupon"/>
    <s v="Facebook"/>
    <n v="310.93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s v="Chair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32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s v="Chair"/>
    <n v="5"/>
    <n v="22.94"/>
    <s v="339 Main St"/>
    <s v="Cash"/>
    <s v="Pending"/>
    <s v="TRK64012257"/>
    <n v="10"/>
    <s v="No Coupon"/>
    <s v="Email"/>
    <n v="114.7"/>
  </r>
  <r>
    <s v="ORD200425"/>
    <x v="338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s v="Monitor"/>
    <n v="5"/>
    <n v="57.45"/>
    <s v="315 Main St"/>
    <s v="Cash"/>
    <s v="Cancelled"/>
    <s v="TRK24839296"/>
    <n v="10"/>
    <s v="No Coupon"/>
    <s v="Facebook"/>
    <n v="287.25"/>
  </r>
  <r>
    <s v="ORD200427"/>
    <x v="144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s v="Tablet"/>
    <n v="2"/>
    <n v="424.32"/>
    <s v="662 Main St"/>
    <s v="Credit Card"/>
    <s v="Returned"/>
    <s v="TRK77163738"/>
    <n v="6"/>
    <s v="No Coupon"/>
    <s v="Referral"/>
    <n v="848.64"/>
  </r>
  <r>
    <s v="ORD200433"/>
    <x v="46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s v="Printer"/>
    <n v="5"/>
    <n v="327.68"/>
    <s v="384 Main St"/>
    <s v="Credit Card"/>
    <s v="Returned"/>
    <s v="TRK85939879"/>
    <n v="6"/>
    <s v="No Coupon"/>
    <s v="Facebook"/>
    <n v="1638.4"/>
  </r>
  <r>
    <s v="ORD200435"/>
    <x v="156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s v="Laptop"/>
    <n v="4"/>
    <n v="221.33"/>
    <s v="651 Main St"/>
    <s v="Online"/>
    <s v="Pending"/>
    <s v="TRK73545796"/>
    <n v="5"/>
    <s v="No Coupon"/>
    <s v="Google"/>
    <n v="885.32"/>
  </r>
  <r>
    <s v="ORD200437"/>
    <x v="171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s v="Chair"/>
    <n v="2"/>
    <n v="69.64"/>
    <s v="813 Main St"/>
    <s v="Cash"/>
    <s v="Returned"/>
    <s v="TRK58970302"/>
    <n v="6"/>
    <s v="No Coupon"/>
    <s v="Facebook"/>
    <n v="139.28"/>
  </r>
  <r>
    <s v="ORD200444"/>
    <x v="18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s v="Printer"/>
    <n v="2"/>
    <n v="416.81"/>
    <s v="356 Main St"/>
    <s v="Cash"/>
    <s v="Returned"/>
    <s v="TRK45355655"/>
    <n v="2"/>
    <s v="No Coupon"/>
    <s v="Facebook"/>
    <n v="833.62"/>
  </r>
  <r>
    <s v="ORD200448"/>
    <x v="355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x v="360"/>
    <s v="C91518"/>
    <s v="Tablet"/>
    <n v="3"/>
    <n v="253.05"/>
    <s v="286 Main St"/>
    <s v="Online"/>
    <s v="Pending"/>
    <s v="TRK48688724"/>
    <n v="3"/>
    <s v="No Coupon"/>
    <s v="Instagram"/>
    <n v="759.15000000000009"/>
  </r>
  <r>
    <s v="ORD200450"/>
    <x v="361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x v="201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s v="Desk"/>
    <n v="1"/>
    <n v="334.39"/>
    <s v="433 Main St"/>
    <s v="Credit Card"/>
    <s v="Returned"/>
    <s v="TRK39717191"/>
    <n v="2"/>
    <s v="No Coupon"/>
    <s v="Instagram"/>
    <n v="334.39"/>
  </r>
  <r>
    <s v="ORD200460"/>
    <x v="354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s v="Phone"/>
    <n v="1"/>
    <n v="252.68"/>
    <s v="731 Main St"/>
    <s v="Online"/>
    <s v="Cancelled"/>
    <s v="TRK32796086"/>
    <n v="1"/>
    <s v="No Coupon"/>
    <s v="Referral"/>
    <n v="252.68"/>
  </r>
  <r>
    <s v="ORD200463"/>
    <x v="68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s v="Printer"/>
    <n v="5"/>
    <n v="513.49"/>
    <s v="391 Main St"/>
    <s v="Gift Card"/>
    <s v="Cancelled"/>
    <s v="TRK65438300"/>
    <n v="8"/>
    <s v="No Coupon"/>
    <s v="Google"/>
    <n v="2567.4499999999998"/>
  </r>
  <r>
    <s v="ORD200466"/>
    <x v="202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s v="Chair"/>
    <n v="5"/>
    <n v="676.98"/>
    <s v="893 Main St"/>
    <s v="Cash"/>
    <s v="Cancelled"/>
    <s v="TRK17254691"/>
    <n v="5"/>
    <s v="No Coupon"/>
    <s v="Facebook"/>
    <n v="3384.9"/>
  </r>
  <r>
    <s v="ORD200470"/>
    <x v="372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s v="Chair"/>
    <n v="2"/>
    <n v="14.93"/>
    <s v="449 Main St"/>
    <s v="Online"/>
    <s v="Shipped"/>
    <s v="TRK71597160"/>
    <n v="4"/>
    <s v="No Coupon"/>
    <s v="Facebook"/>
    <n v="29.86"/>
  </r>
  <r>
    <s v="ORD200474"/>
    <x v="375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s v="Monitor"/>
    <n v="4"/>
    <n v="25.29"/>
    <s v="943 Main St"/>
    <s v="Credit Card"/>
    <s v="Pending"/>
    <s v="TRK21429162"/>
    <n v="8"/>
    <s v="No Coupon"/>
    <s v="Google"/>
    <n v="101.16"/>
  </r>
  <r>
    <s v="ORD200480"/>
    <x v="379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s v="Monitor"/>
    <n v="3"/>
    <n v="381.41"/>
    <s v="989 Main St"/>
    <s v="Online"/>
    <s v="Pending"/>
    <s v="TRK22302049"/>
    <n v="6"/>
    <s v="No Coupon"/>
    <s v="Instagram"/>
    <n v="1144.23"/>
  </r>
  <r>
    <s v="ORD200483"/>
    <x v="381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s v="Chair"/>
    <n v="4"/>
    <n v="15.01"/>
    <s v="767 Main St"/>
    <s v="Cash"/>
    <s v="Cancelled"/>
    <s v="TRK90455340"/>
    <n v="6"/>
    <s v="No Coupon"/>
    <s v="Facebook"/>
    <n v="60.04"/>
  </r>
  <r>
    <s v="ORD200485"/>
    <x v="383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s v="Chair"/>
    <n v="5"/>
    <n v="467.81"/>
    <s v="539 Main St"/>
    <s v="Online"/>
    <s v="Cancelled"/>
    <s v="TRK62785150"/>
    <n v="10"/>
    <s v="No Coupon"/>
    <s v="Facebook"/>
    <n v="2339.0500000000002"/>
  </r>
  <r>
    <s v="ORD200491"/>
    <x v="314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s v="Printer"/>
    <n v="3"/>
    <n v="112.29"/>
    <s v="454 Main St"/>
    <s v="Gift Card"/>
    <s v="Shipped"/>
    <s v="TRK77358113"/>
    <n v="6"/>
    <s v="No Coupon"/>
    <s v="Google"/>
    <n v="336.87"/>
  </r>
  <r>
    <s v="ORD200498"/>
    <x v="219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s v="Printer"/>
    <n v="2"/>
    <n v="434.97"/>
    <s v="558 Main St"/>
    <s v="Online"/>
    <s v="Shipped"/>
    <s v="TRK97246526"/>
    <n v="7"/>
    <s v="No Coupon"/>
    <s v="Email"/>
    <n v="869.94"/>
  </r>
  <r>
    <s v="ORD200506"/>
    <x v="284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s v="Phone"/>
    <n v="1"/>
    <n v="558.27"/>
    <s v="976 Main St"/>
    <s v="Online"/>
    <s v="Delivered"/>
    <s v="TRK24120267"/>
    <n v="1"/>
    <s v="No Coupon"/>
    <s v="Referral"/>
    <n v="558.27"/>
  </r>
  <r>
    <s v="ORD200509"/>
    <x v="392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s v="Tablet"/>
    <n v="3"/>
    <n v="94.88"/>
    <s v="533 Main St"/>
    <s v="Gift Card"/>
    <s v="Shipped"/>
    <s v="TRK37053575"/>
    <n v="8"/>
    <s v="No Coupon"/>
    <s v="Referral"/>
    <n v="284.64"/>
  </r>
  <r>
    <s v="ORD200514"/>
    <x v="39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s v="Monitor"/>
    <n v="3"/>
    <n v="166.99"/>
    <s v="208 Main St"/>
    <s v="Cash"/>
    <s v="Returned"/>
    <s v="TRK28855040"/>
    <n v="8"/>
    <s v="No Coupon"/>
    <s v="Facebook"/>
    <n v="500.97"/>
  </r>
  <r>
    <s v="ORD200517"/>
    <x v="398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s v="Monitor"/>
    <n v="3"/>
    <n v="635.98"/>
    <s v="959 Main St"/>
    <s v="Cash"/>
    <s v="Returned"/>
    <s v="TRK27063398"/>
    <n v="5"/>
    <s v="No Coupon"/>
    <s v="Referral"/>
    <n v="1907.94"/>
  </r>
  <r>
    <s v="ORD200521"/>
    <x v="402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322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s v="Phone"/>
    <n v="1"/>
    <n v="153"/>
    <s v="103 Main St"/>
    <s v="Credit Card"/>
    <s v="Returned"/>
    <s v="TRK92617366"/>
    <n v="4"/>
    <s v="No Coupon"/>
    <s v="Referral"/>
    <n v="153"/>
  </r>
  <r>
    <s v="ORD200525"/>
    <x v="404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s v="Desk"/>
    <n v="2"/>
    <n v="46.5"/>
    <s v="837 Main St"/>
    <s v="Cash"/>
    <s v="Returned"/>
    <s v="TRK63526023"/>
    <n v="7"/>
    <s v="WINTER15"/>
    <s v="Google"/>
    <n v="93"/>
  </r>
  <r>
    <s v="ORD200527"/>
    <x v="406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s v="Chair"/>
    <n v="4"/>
    <n v="89.41"/>
    <s v="613 Main St"/>
    <s v="Online"/>
    <s v="Pending"/>
    <s v="TRK14809530"/>
    <n v="9"/>
    <s v="No Coupon"/>
    <s v="Google"/>
    <n v="357.64"/>
  </r>
  <r>
    <s v="ORD200531"/>
    <x v="367"/>
    <s v="C64502"/>
    <s v="Desk"/>
    <n v="5"/>
    <n v="320.01"/>
    <s v="722 Main St"/>
    <s v="Gift Card"/>
    <s v="Delivered"/>
    <s v="TRK14914388"/>
    <n v="6"/>
    <s v="No Coupon"/>
    <s v="Referral"/>
    <n v="1600.05"/>
  </r>
  <r>
    <s v="ORD200532"/>
    <x v="120"/>
    <s v="C47365"/>
    <s v="Laptop"/>
    <n v="2"/>
    <n v="41"/>
    <s v="369 Main St"/>
    <s v="Online"/>
    <s v="Delivered"/>
    <s v="TRK42207882"/>
    <n v="7"/>
    <s v="No Coupon"/>
    <s v="Email"/>
    <n v="82"/>
  </r>
  <r>
    <s v="ORD200533"/>
    <x v="409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s v="Chair"/>
    <n v="1"/>
    <n v="616.1"/>
    <s v="124 Main St"/>
    <s v="Cash"/>
    <s v="Returned"/>
    <s v="TRK52508861"/>
    <n v="6"/>
    <s v="No Coupon"/>
    <s v="Email"/>
    <n v="616.1"/>
  </r>
  <r>
    <s v="ORD200537"/>
    <x v="411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s v="Laptop"/>
    <n v="5"/>
    <n v="648.65"/>
    <s v="852 Main St"/>
    <s v="Online"/>
    <s v="Pending"/>
    <s v="TRK81765057"/>
    <n v="7"/>
    <s v="No Coupon"/>
    <s v="Referral"/>
    <n v="3243.25"/>
  </r>
  <r>
    <s v="ORD200541"/>
    <x v="413"/>
    <s v="C69009"/>
    <s v="Printer"/>
    <n v="5"/>
    <n v="456.06"/>
    <s v="879 Main St"/>
    <s v="Cash"/>
    <s v="Pending"/>
    <s v="TRK61295842"/>
    <n v="10"/>
    <s v="No Coupon"/>
    <s v="Instagram"/>
    <n v="2280.3000000000002"/>
  </r>
  <r>
    <s v="ORD200542"/>
    <x v="414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s v="Monitor"/>
    <n v="2"/>
    <n v="98.47"/>
    <s v="964 Main St"/>
    <s v="Cash"/>
    <s v="Returned"/>
    <s v="TRK74091695"/>
    <n v="3"/>
    <s v="No Coupon"/>
    <s v="Instagram"/>
    <n v="196.94"/>
  </r>
  <r>
    <s v="ORD200546"/>
    <x v="417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s v="Tablet"/>
    <n v="1"/>
    <n v="92.04"/>
    <s v="333 Main St"/>
    <s v="Cash"/>
    <s v="Shipped"/>
    <s v="TRK89306964"/>
    <n v="2"/>
    <s v="No Coupon"/>
    <s v="Facebook"/>
    <n v="92.04"/>
  </r>
  <r>
    <s v="ORD200556"/>
    <x v="423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s v="Monitor"/>
    <n v="4"/>
    <n v="588.85"/>
    <s v="524 Main St"/>
    <s v="Gift Card"/>
    <s v="Pending"/>
    <s v="TRK93168008"/>
    <n v="7"/>
    <s v="No Coupon"/>
    <s v="Email"/>
    <n v="2355.4"/>
  </r>
  <r>
    <s v="ORD200561"/>
    <x v="425"/>
    <s v="C96822"/>
    <s v="Printer"/>
    <n v="2"/>
    <n v="494.78"/>
    <s v="198 Main St"/>
    <s v="Online"/>
    <s v="Shipped"/>
    <s v="TRK89180077"/>
    <n v="2"/>
    <s v="No Coupon"/>
    <s v="Google"/>
    <n v="989.56"/>
  </r>
  <r>
    <s v="ORD200562"/>
    <x v="426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s v="Tablet"/>
    <n v="5"/>
    <n v="307.98"/>
    <s v="214 Main St"/>
    <s v="Online"/>
    <s v="Pending"/>
    <s v="TRK42605492"/>
    <n v="10"/>
    <s v="No Coupon"/>
    <s v="Facebook"/>
    <n v="1539.9"/>
  </r>
  <r>
    <s v="ORD200566"/>
    <x v="171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s v="Laptop"/>
    <n v="2"/>
    <n v="343.99"/>
    <s v="312 Main St"/>
    <s v="Online"/>
    <s v="Delivered"/>
    <s v="TRK72334047"/>
    <n v="4"/>
    <s v="No Coupon"/>
    <s v="Google"/>
    <n v="687.98"/>
  </r>
  <r>
    <s v="ORD200569"/>
    <x v="2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s v="Chair"/>
    <n v="5"/>
    <n v="421.42"/>
    <s v="522 Main St"/>
    <s v="Debit Card"/>
    <s v="Cancelled"/>
    <s v="TRK30686578"/>
    <n v="7"/>
    <s v="No Coupon"/>
    <s v="Instagram"/>
    <n v="2107.1"/>
  </r>
  <r>
    <s v="ORD200574"/>
    <x v="434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s v="Laptop"/>
    <n v="5"/>
    <n v="79.08"/>
    <s v="747 Main St"/>
    <s v="Cash"/>
    <s v="Pending"/>
    <s v="TRK42517811"/>
    <n v="8"/>
    <s v="No Coupon"/>
    <s v="Facebook"/>
    <n v="395.4"/>
  </r>
  <r>
    <s v="ORD200577"/>
    <x v="55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s v="Laptop"/>
    <n v="1"/>
    <n v="627.34"/>
    <s v="942 Main St"/>
    <s v="Online"/>
    <s v="Delivered"/>
    <s v="TRK87158684"/>
    <n v="1"/>
    <s v="No Coupon"/>
    <s v="Referral"/>
    <n v="627.34"/>
  </r>
  <r>
    <s v="ORD200582"/>
    <x v="436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s v="Chair"/>
    <n v="3"/>
    <n v="154.37"/>
    <s v="996 Main St"/>
    <s v="Gift Card"/>
    <s v="Delivered"/>
    <s v="TRK29750379"/>
    <n v="4"/>
    <s v="No Coupon"/>
    <s v="Instagram"/>
    <n v="463.11"/>
  </r>
  <r>
    <s v="ORD200584"/>
    <x v="43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441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s v="Printer"/>
    <n v="2"/>
    <n v="461.13"/>
    <s v="175 Main St"/>
    <s v="Gift Card"/>
    <s v="Returned"/>
    <s v="TRK27356242"/>
    <n v="4"/>
    <s v="No Coupon"/>
    <s v="Email"/>
    <n v="922.26"/>
  </r>
  <r>
    <s v="ORD200591"/>
    <x v="249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s v="Phone"/>
    <n v="3"/>
    <n v="204.27"/>
    <s v="938 Main St"/>
    <s v="Online"/>
    <s v="Returned"/>
    <s v="TRK15499648"/>
    <n v="4"/>
    <s v="No Coupon"/>
    <s v="Google"/>
    <n v="612.81000000000006"/>
  </r>
  <r>
    <s v="ORD200593"/>
    <x v="443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s v="Phone"/>
    <n v="5"/>
    <n v="72.64"/>
    <s v="598 Main St"/>
    <s v="Credit Card"/>
    <s v="Cancelled"/>
    <s v="TRK12671989"/>
    <n v="7"/>
    <s v="No Coupon"/>
    <s v="Email"/>
    <n v="363.2"/>
  </r>
  <r>
    <s v="ORD200595"/>
    <x v="445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s v="Desk"/>
    <n v="5"/>
    <n v="495.35"/>
    <s v="826 Main St"/>
    <s v="Credit Card"/>
    <s v="Pending"/>
    <s v="TRK59069987"/>
    <n v="5"/>
    <s v="No Coupon"/>
    <s v="Facebook"/>
    <n v="2476.75"/>
  </r>
  <r>
    <s v="ORD200599"/>
    <x v="30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s v="Monitor"/>
    <n v="5"/>
    <n v="24.82"/>
    <s v="529 Main St"/>
    <s v="Credit Card"/>
    <s v="Shipped"/>
    <s v="TRK73935314"/>
    <n v="10"/>
    <s v="No Coupon"/>
    <s v="Referral"/>
    <n v="124.1"/>
  </r>
  <r>
    <s v="ORD200602"/>
    <x v="448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x v="451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s v="Chair"/>
    <n v="3"/>
    <n v="445.12"/>
    <s v="339 Main St"/>
    <s v="Gift Card"/>
    <s v="Cancelled"/>
    <s v="TRK82377939"/>
    <n v="8"/>
    <s v="No Coupon"/>
    <s v="Google"/>
    <n v="1335.36"/>
  </r>
  <r>
    <s v="ORD200613"/>
    <x v="36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s v="Phone"/>
    <n v="1"/>
    <n v="96.81"/>
    <s v="807 Main St"/>
    <s v="Gift Card"/>
    <s v="Cancelled"/>
    <s v="TRK12439827"/>
    <n v="3"/>
    <s v="No Coupon"/>
    <s v="Referral"/>
    <n v="96.81"/>
  </r>
  <r>
    <s v="ORD200615"/>
    <x v="456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s v="Tablet"/>
    <n v="3"/>
    <n v="184.47"/>
    <s v="834 Main St"/>
    <s v="Online"/>
    <s v="Cancelled"/>
    <s v="TRK75469057"/>
    <n v="4"/>
    <s v="No Coupon"/>
    <s v="Referral"/>
    <n v="553.41"/>
  </r>
  <r>
    <s v="ORD200618"/>
    <x v="459"/>
    <s v="C50565"/>
    <s v="Tablet"/>
    <n v="1"/>
    <n v="411.34"/>
    <s v="399 Main St"/>
    <s v="Debit Card"/>
    <s v="Returned"/>
    <s v="TRK97981418"/>
    <n v="5"/>
    <s v="No Coupon"/>
    <s v="Instagram"/>
    <n v="411.34"/>
  </r>
  <r>
    <s v="ORD200619"/>
    <x v="424"/>
    <s v="C38845"/>
    <s v="Laptop"/>
    <n v="1"/>
    <n v="532.89"/>
    <s v="764 Main St"/>
    <s v="Gift Card"/>
    <s v="Pending"/>
    <s v="TRK47637374"/>
    <n v="2"/>
    <s v="No Coupon"/>
    <s v="Referral"/>
    <n v="532.89"/>
  </r>
  <r>
    <s v="ORD200620"/>
    <x v="460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s v="Desk"/>
    <n v="5"/>
    <n v="236.38"/>
    <s v="128 Main St"/>
    <s v="Credit Card"/>
    <s v="Returned"/>
    <s v="TRK89314307"/>
    <n v="7"/>
    <s v="No Coupon"/>
    <s v="Facebook"/>
    <n v="1181.9000000000001"/>
  </r>
  <r>
    <s v="ORD200623"/>
    <x v="379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s v="Tablet"/>
    <n v="5"/>
    <n v="341.96"/>
    <s v="747 Main St"/>
    <s v="Debit Card"/>
    <s v="Delivered"/>
    <s v="TRK88559278"/>
    <n v="6"/>
    <s v="No Coupon"/>
    <s v="Email"/>
    <n v="1709.8"/>
  </r>
  <r>
    <s v="ORD200625"/>
    <x v="463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s v="Phone"/>
    <n v="3"/>
    <n v="19.73"/>
    <s v="840 Main St"/>
    <s v="Online"/>
    <s v="Pending"/>
    <s v="TRK91836131"/>
    <n v="3"/>
    <s v="No Coupon"/>
    <s v="Referral"/>
    <n v="59.19"/>
  </r>
  <r>
    <s v="ORD200630"/>
    <x v="467"/>
    <s v="C51481"/>
    <s v="Monitor"/>
    <n v="5"/>
    <n v="248.84"/>
    <s v="140 Main St"/>
    <s v="Debit Card"/>
    <s v="Cancelled"/>
    <s v="TRK33437701"/>
    <n v="10"/>
    <s v="No Coupon"/>
    <s v="Instagram"/>
    <n v="1244.2"/>
  </r>
  <r>
    <s v="ORD200631"/>
    <x v="169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s v="Chair"/>
    <n v="3"/>
    <n v="63.68"/>
    <s v="434 Main St"/>
    <s v="Cash"/>
    <s v="Returned"/>
    <s v="TRK40879983"/>
    <n v="6"/>
    <s v="No Coupon"/>
    <s v="Facebook"/>
    <n v="191.04"/>
  </r>
  <r>
    <s v="ORD200636"/>
    <x v="469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s v="Chair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s v="Chair"/>
    <n v="3"/>
    <n v="646.34"/>
    <s v="429 Main St"/>
    <s v="Debit Card"/>
    <s v="Pending"/>
    <s v="TRK76931118"/>
    <n v="5"/>
    <s v="No Coupon"/>
    <s v="Google"/>
    <n v="1939.02"/>
  </r>
  <r>
    <s v="ORD200652"/>
    <x v="477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s v="Tablet"/>
    <n v="3"/>
    <n v="382.37"/>
    <s v="863 Main St"/>
    <s v="Debit Card"/>
    <s v="Returned"/>
    <s v="TRK25748100"/>
    <n v="8"/>
    <s v="No Coupon"/>
    <s v="Instagram"/>
    <n v="1147.1099999999999"/>
  </r>
  <r>
    <s v="ORD200655"/>
    <x v="369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s v="Laptop"/>
    <n v="3"/>
    <n v="438.89"/>
    <s v="985 Main St"/>
    <s v="Cash"/>
    <s v="Returned"/>
    <s v="TRK85744797"/>
    <n v="3"/>
    <s v="No Coupon"/>
    <s v="Facebook"/>
    <n v="1316.67"/>
  </r>
  <r>
    <s v="ORD200663"/>
    <x v="11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s v="Laptop"/>
    <n v="4"/>
    <n v="194.75"/>
    <s v="188 Main St"/>
    <s v="Cash"/>
    <s v="Shipped"/>
    <s v="TRK46492755"/>
    <n v="5"/>
    <s v="No Coupon"/>
    <s v="Facebook"/>
    <n v="779"/>
  </r>
  <r>
    <s v="ORD200665"/>
    <x v="468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s v="Monitor"/>
    <n v="4"/>
    <n v="327.12"/>
    <s v="788 Main St"/>
    <s v="Credit Card"/>
    <s v="Cancelled"/>
    <s v="TRK45281495"/>
    <n v="4"/>
    <s v="No Coupon"/>
    <s v="Email"/>
    <n v="1308.48"/>
  </r>
  <r>
    <s v="ORD200667"/>
    <x v="71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s v="Desk"/>
    <n v="1"/>
    <n v="257"/>
    <s v="812 Main St"/>
    <s v="Debit Card"/>
    <s v="Cancelled"/>
    <s v="TRK65694249"/>
    <n v="5"/>
    <s v="No Coupon"/>
    <s v="Referral"/>
    <n v="257"/>
  </r>
  <r>
    <s v="ORD200670"/>
    <x v="171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s v="Desk"/>
    <n v="3"/>
    <n v="342.02"/>
    <s v="906 Main St"/>
    <s v="Debit Card"/>
    <s v="Pending"/>
    <s v="TRK90233116"/>
    <n v="5"/>
    <s v="No Coupon"/>
    <s v="Email"/>
    <n v="1026.06"/>
  </r>
  <r>
    <s v="ORD200676"/>
    <x v="127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s v="Monitor"/>
    <n v="3"/>
    <n v="463.39"/>
    <s v="694 Main St"/>
    <s v="Credit Card"/>
    <s v="Returned"/>
    <s v="TRK16953491"/>
    <n v="3"/>
    <s v="No Coupon"/>
    <s v="Facebook"/>
    <n v="1390.17"/>
  </r>
  <r>
    <s v="ORD200681"/>
    <x v="489"/>
    <s v="C38262"/>
    <s v="Tablet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363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s v="Printer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492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s v="Tablet"/>
    <n v="2"/>
    <n v="444.84"/>
    <s v="787 Main St"/>
    <s v="Online"/>
    <s v="Shipped"/>
    <s v="TRK56967415"/>
    <n v="7"/>
    <s v="No Coupon"/>
    <s v="Facebook"/>
    <n v="889.68"/>
  </r>
  <r>
    <s v="ORD200690"/>
    <x v="494"/>
    <s v="C29318"/>
    <s v="Monitor"/>
    <n v="1"/>
    <n v="24.48"/>
    <s v="128 Main St"/>
    <s v="Gift Card"/>
    <s v="Returned"/>
    <s v="TRK88666721"/>
    <n v="1"/>
    <s v="No Coupon"/>
    <s v="Instagram"/>
    <n v="24.48"/>
  </r>
  <r>
    <s v="ORD200691"/>
    <x v="167"/>
    <s v="C36137"/>
    <s v="Laptop"/>
    <n v="3"/>
    <n v="239.08"/>
    <s v="396 Main St"/>
    <s v="Cash"/>
    <s v="Shipped"/>
    <s v="TRK57376416"/>
    <n v="8"/>
    <s v="No Coupon"/>
    <s v="Google"/>
    <n v="717.24"/>
  </r>
  <r>
    <s v="ORD200692"/>
    <x v="19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s v="Monitor"/>
    <n v="1"/>
    <n v="176.58"/>
    <s v="674 Main St"/>
    <s v="Debit Card"/>
    <s v="Returned"/>
    <s v="TRK10267127"/>
    <n v="4"/>
    <s v="No Coupon"/>
    <s v="Referral"/>
    <n v="176.58"/>
  </r>
  <r>
    <s v="ORD200694"/>
    <x v="276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s v="Laptop"/>
    <n v="3"/>
    <n v="614.15"/>
    <s v="897 Main St"/>
    <s v="Gift Card"/>
    <s v="Cancelled"/>
    <s v="TRK84088900"/>
    <n v="3"/>
    <s v="No Coupon"/>
    <s v="Facebook"/>
    <n v="1842.45"/>
  </r>
  <r>
    <s v="ORD200700"/>
    <x v="498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s v="Printer"/>
    <n v="3"/>
    <n v="562.54999999999995"/>
    <s v="154 Main St"/>
    <s v="Debit Card"/>
    <s v="Returned"/>
    <s v="TRK43589369"/>
    <n v="6"/>
    <s v="No Coupon"/>
    <s v="Email"/>
    <n v="1687.65"/>
  </r>
  <r>
    <s v="ORD200703"/>
    <x v="500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s v="Laptop"/>
    <n v="5"/>
    <n v="21.54"/>
    <s v="113 Main St"/>
    <s v="Gift Card"/>
    <s v="Returned"/>
    <s v="TRK19086608"/>
    <n v="10"/>
    <s v="No Coupon"/>
    <s v="Google"/>
    <n v="107.7"/>
  </r>
  <r>
    <s v="ORD200711"/>
    <x v="502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s v="Desk"/>
    <n v="2"/>
    <n v="118.59"/>
    <s v="890 Main St"/>
    <s v="Credit Card"/>
    <s v="Delivered"/>
    <s v="TRK56110689"/>
    <n v="2"/>
    <s v="No Coupon"/>
    <s v="Email"/>
    <n v="237.18"/>
  </r>
  <r>
    <s v="ORD200722"/>
    <x v="64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s v="Chair"/>
    <n v="2"/>
    <n v="194.85"/>
    <s v="372 Main St"/>
    <s v="Gift Card"/>
    <s v="Returned"/>
    <s v="TRK45670926"/>
    <n v="5"/>
    <s v="No Coupon"/>
    <s v="Referral"/>
    <n v="389.7"/>
  </r>
  <r>
    <s v="ORD200726"/>
    <x v="510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s v="Printer"/>
    <n v="5"/>
    <n v="584.46"/>
    <s v="308 Main St"/>
    <s v="Credit Card"/>
    <s v="Returned"/>
    <s v="TRK48292586"/>
    <n v="8"/>
    <s v="No Coupon"/>
    <s v="Email"/>
    <n v="2922.3"/>
  </r>
  <r>
    <s v="ORD200732"/>
    <x v="456"/>
    <s v="C80987"/>
    <s v="Laptop"/>
    <n v="1"/>
    <n v="132.05000000000001"/>
    <s v="787 Main St"/>
    <s v="Online"/>
    <s v="Delivered"/>
    <s v="TRK42187776"/>
    <n v="2"/>
    <s v="No Coupon"/>
    <s v="Google"/>
    <n v="132.05000000000001"/>
  </r>
  <r>
    <s v="ORD200733"/>
    <x v="513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s v="Monitor"/>
    <n v="4"/>
    <n v="44.07"/>
    <s v="359 Main St"/>
    <s v="Debit Card"/>
    <s v="Pending"/>
    <s v="TRK13443264"/>
    <n v="6"/>
    <s v="No Coupon"/>
    <s v="Email"/>
    <n v="176.28"/>
  </r>
  <r>
    <s v="ORD200736"/>
    <x v="516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s v="Desk"/>
    <n v="2"/>
    <n v="377.47"/>
    <s v="433 Main St"/>
    <s v="Cash"/>
    <s v="Pending"/>
    <s v="TRK76154554"/>
    <n v="7"/>
    <s v="No Coupon"/>
    <s v="Google"/>
    <n v="754.94"/>
  </r>
  <r>
    <s v="ORD200741"/>
    <x v="185"/>
    <s v="C99683"/>
    <s v="Monitor"/>
    <n v="5"/>
    <n v="332.64"/>
    <s v="945 Main St"/>
    <s v="Gift Card"/>
    <s v="Delivered"/>
    <s v="TRK87305883"/>
    <n v="10"/>
    <s v="No Coupon"/>
    <s v="Referral"/>
    <n v="1663.2"/>
  </r>
  <r>
    <s v="ORD200742"/>
    <x v="519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s v="Desk"/>
    <n v="3"/>
    <n v="336.71"/>
    <s v="658 Main St"/>
    <s v="Credit Card"/>
    <s v="Pending"/>
    <s v="TRK60515972"/>
    <n v="4"/>
    <s v="No Coupon"/>
    <s v="Email"/>
    <n v="1010.13"/>
  </r>
  <r>
    <s v="ORD200756"/>
    <x v="326"/>
    <s v="C14080"/>
    <s v="Phone"/>
    <n v="1"/>
    <n v="283.69"/>
    <s v="202 Main St"/>
    <s v="Gift Card"/>
    <s v="Shipped"/>
    <s v="TRK93163682"/>
    <n v="6"/>
    <s v="No Coupon"/>
    <s v="Google"/>
    <n v="283.69"/>
  </r>
  <r>
    <s v="ORD200757"/>
    <x v="27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s v="Desk"/>
    <n v="1"/>
    <n v="39.56"/>
    <s v="283 Main St"/>
    <s v="Debit Card"/>
    <s v="Cancelled"/>
    <s v="TRK73324346"/>
    <n v="5"/>
    <s v="No Coupon"/>
    <s v="Google"/>
    <n v="39.56"/>
  </r>
  <r>
    <s v="ORD200761"/>
    <x v="454"/>
    <s v="C37235"/>
    <s v="Desk"/>
    <n v="4"/>
    <n v="37.76"/>
    <s v="217 Main St"/>
    <s v="Debit Card"/>
    <s v="Delivered"/>
    <s v="TRK67789367"/>
    <n v="7"/>
    <s v="No Coupon"/>
    <s v="Google"/>
    <n v="151.04"/>
  </r>
  <r>
    <s v="ORD200762"/>
    <x v="529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355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s v="Printer"/>
    <n v="4"/>
    <n v="678.55"/>
    <s v="568 Main St"/>
    <s v="Cash"/>
    <s v="Delivered"/>
    <s v="TRK98691410"/>
    <n v="5"/>
    <s v="No Coupon"/>
    <s v="Email"/>
    <n v="2714.2"/>
  </r>
  <r>
    <s v="ORD200770"/>
    <x v="530"/>
    <s v="C72166"/>
    <s v="Desk"/>
    <n v="1"/>
    <n v="314.38"/>
    <s v="227 Main St"/>
    <s v="Online"/>
    <s v="Returned"/>
    <s v="TRK67733444"/>
    <n v="6"/>
    <s v="No Coupon"/>
    <s v="Google"/>
    <n v="314.38"/>
  </r>
  <r>
    <s v="ORD200771"/>
    <x v="52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s v="Monitor"/>
    <n v="1"/>
    <n v="604.87"/>
    <s v="461 Main St"/>
    <s v="Online"/>
    <s v="Delivered"/>
    <s v="TRK25799478"/>
    <n v="4"/>
    <s v="No Coupon"/>
    <s v="Instagram"/>
    <n v="604.87"/>
  </r>
  <r>
    <s v="ORD200773"/>
    <x v="164"/>
    <s v="C99205"/>
    <s v="Phone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198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s v="Phone"/>
    <n v="2"/>
    <n v="625.22"/>
    <s v="569 Main St"/>
    <s v="Online"/>
    <s v="Cancelled"/>
    <s v="TRK22051900"/>
    <n v="5"/>
    <s v="No Coupon"/>
    <s v="Google"/>
    <n v="1250.44"/>
  </r>
  <r>
    <s v="ORD200776"/>
    <x v="531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s v="Chair"/>
    <n v="5"/>
    <n v="64.489999999999995"/>
    <s v="633 Main St"/>
    <s v="Online"/>
    <s v="Cancelled"/>
    <s v="TRK41967983"/>
    <n v="7"/>
    <s v="No Coupon"/>
    <s v="Facebook"/>
    <n v="322.45"/>
  </r>
  <r>
    <s v="ORD200778"/>
    <x v="200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s v="Chair"/>
    <n v="5"/>
    <n v="45.31"/>
    <s v="774 Main St"/>
    <s v="Online"/>
    <s v="Cancelled"/>
    <s v="TRK99583414"/>
    <n v="8"/>
    <s v="No Coupon"/>
    <s v="Referral"/>
    <n v="226.55"/>
  </r>
  <r>
    <s v="ORD200787"/>
    <x v="537"/>
    <s v="C18167"/>
    <s v="Desk"/>
    <n v="4"/>
    <n v="221.96"/>
    <s v="193 Main St"/>
    <s v="Cash"/>
    <s v="Delivered"/>
    <s v="TRK36841089"/>
    <n v="7"/>
    <s v="No Coupon"/>
    <s v="Google"/>
    <n v="887.84"/>
  </r>
  <r>
    <s v="ORD200788"/>
    <x v="208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s v="Laptop"/>
    <n v="4"/>
    <n v="417.89"/>
    <s v="302 Main St"/>
    <s v="Gift Card"/>
    <s v="Pending"/>
    <s v="TRK96636009"/>
    <n v="4"/>
    <s v="No Coupon"/>
    <s v="Google"/>
    <n v="1671.56"/>
  </r>
  <r>
    <s v="ORD200791"/>
    <x v="539"/>
    <s v="C49710"/>
    <s v="Chair"/>
    <n v="4"/>
    <n v="409.28"/>
    <s v="956 Main St"/>
    <s v="Cash"/>
    <s v="Pending"/>
    <s v="TRK92591237"/>
    <n v="8"/>
    <s v="No Coupon"/>
    <s v="Email"/>
    <n v="1637.12"/>
  </r>
  <r>
    <s v="ORD200792"/>
    <x v="379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s v="Chair"/>
    <n v="5"/>
    <n v="170.22"/>
    <s v="769 Main St"/>
    <s v="Debit Card"/>
    <s v="Delivered"/>
    <s v="TRK69599961"/>
    <n v="8"/>
    <s v="No Coupon"/>
    <s v="Referral"/>
    <n v="851.1"/>
  </r>
  <r>
    <s v="ORD200794"/>
    <x v="338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s v="Laptop"/>
    <n v="2"/>
    <n v="438.76"/>
    <s v="426 Main St"/>
    <s v="Debit Card"/>
    <s v="Returned"/>
    <s v="TRK72557318"/>
    <n v="2"/>
    <s v="No Coupon"/>
    <s v="Facebook"/>
    <n v="877.52"/>
  </r>
  <r>
    <s v="ORD200798"/>
    <x v="542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s v="Desk"/>
    <n v="3"/>
    <n v="134.05000000000001"/>
    <s v="192 Main St"/>
    <s v="Credit Card"/>
    <s v="Shipped"/>
    <s v="TRK80383756"/>
    <n v="3"/>
    <s v="No Coupon"/>
    <s v="Google"/>
    <n v="402.15"/>
  </r>
  <r>
    <s v="ORD200809"/>
    <x v="398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212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s v="Printer"/>
    <n v="2"/>
    <n v="88.73"/>
    <s v="140 Main St"/>
    <s v="Online"/>
    <s v="Pending"/>
    <s v="TRK61346824"/>
    <n v="5"/>
    <s v="No Coupon"/>
    <s v="Google"/>
    <n v="177.46"/>
  </r>
  <r>
    <s v="ORD200832"/>
    <x v="553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s v="Printer"/>
    <n v="5"/>
    <n v="22.14"/>
    <s v="456 Main St"/>
    <s v="Cash"/>
    <s v="Returned"/>
    <s v="TRK22084320"/>
    <n v="10"/>
    <s v="No Coupon"/>
    <s v="Instagram"/>
    <n v="110.7"/>
  </r>
  <r>
    <s v="ORD200835"/>
    <x v="290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s v="Chair"/>
    <n v="5"/>
    <n v="655.55"/>
    <s v="282 Main St"/>
    <s v="Online"/>
    <s v="Delivered"/>
    <s v="TRK59701278"/>
    <n v="5"/>
    <s v="No Coupon"/>
    <s v="Email"/>
    <n v="3277.75"/>
  </r>
  <r>
    <s v="ORD200838"/>
    <x v="166"/>
    <s v="C57798"/>
    <s v="Desk"/>
    <n v="4"/>
    <n v="577.08000000000004"/>
    <s v="384 Main St"/>
    <s v="Online"/>
    <s v="Pending"/>
    <s v="TRK68797566"/>
    <n v="8"/>
    <s v="No Coupon"/>
    <s v="Facebook"/>
    <n v="2308.3200000000002"/>
  </r>
  <r>
    <s v="ORD200839"/>
    <x v="318"/>
    <s v="C82858"/>
    <s v="Chair"/>
    <n v="3"/>
    <n v="197.97"/>
    <s v="551 Main St"/>
    <s v="Online"/>
    <s v="Cancelled"/>
    <s v="TRK90618490"/>
    <n v="5"/>
    <s v="No Coupon"/>
    <s v="Google"/>
    <n v="593.91"/>
  </r>
  <r>
    <s v="ORD200840"/>
    <x v="555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s v="Printer"/>
    <n v="2"/>
    <n v="443.22"/>
    <s v="742 Main St"/>
    <s v="Credit Card"/>
    <s v="Delivered"/>
    <s v="TRK51732528"/>
    <n v="5"/>
    <s v="No Coupon"/>
    <s v="Facebook"/>
    <n v="886.44"/>
  </r>
  <r>
    <s v="ORD200842"/>
    <x v="106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s v="Desk"/>
    <n v="2"/>
    <n v="359.86"/>
    <s v="646 Main St"/>
    <s v="Debit Card"/>
    <s v="Cancelled"/>
    <s v="TRK43977698"/>
    <n v="4"/>
    <s v="No Coupon"/>
    <s v="Referral"/>
    <n v="719.72"/>
  </r>
  <r>
    <s v="ORD200847"/>
    <x v="249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s v="Chair"/>
    <n v="2"/>
    <n v="645.85"/>
    <s v="634 Main St"/>
    <s v="Online"/>
    <s v="Shipped"/>
    <s v="TRK18049633"/>
    <n v="5"/>
    <s v="No Coupon"/>
    <s v="Referral"/>
    <n v="1291.7"/>
  </r>
  <r>
    <s v="ORD200849"/>
    <x v="559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s v="Phone"/>
    <n v="1"/>
    <n v="586.62"/>
    <s v="871 Main St"/>
    <s v="Debit Card"/>
    <s v="Shipped"/>
    <s v="TRK95768773"/>
    <n v="5"/>
    <s v="No Coupon"/>
    <s v="Facebook"/>
    <n v="586.62"/>
  </r>
  <r>
    <s v="ORD200857"/>
    <x v="416"/>
    <s v="C56506"/>
    <s v="Phone"/>
    <n v="3"/>
    <n v="257.83999999999997"/>
    <s v="185 Main St"/>
    <s v="Online"/>
    <s v="Delivered"/>
    <s v="TRK86808324"/>
    <n v="4"/>
    <s v="No Coupon"/>
    <s v="Instagram"/>
    <n v="773.52"/>
  </r>
  <r>
    <s v="ORD200858"/>
    <x v="38"/>
    <s v="C22167"/>
    <s v="Tablet"/>
    <n v="5"/>
    <n v="435.66"/>
    <s v="891 Main St"/>
    <s v="Online"/>
    <s v="Pending"/>
    <s v="TRK70269748"/>
    <n v="9"/>
    <s v="No Coupon"/>
    <s v="Facebook"/>
    <n v="2178.3000000000002"/>
  </r>
  <r>
    <s v="ORD200859"/>
    <x v="562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s v="Monitor"/>
    <n v="4"/>
    <n v="316.32"/>
    <s v="309 Main St"/>
    <s v="Debit Card"/>
    <s v="Delivered"/>
    <s v="TRK42985882"/>
    <n v="7"/>
    <s v="No Coupon"/>
    <s v="Facebook"/>
    <n v="1265.28"/>
  </r>
  <r>
    <s v="ORD200869"/>
    <x v="537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s v="Chair"/>
    <n v="4"/>
    <n v="629.34"/>
    <s v="172 Main St"/>
    <s v="Cash"/>
    <s v="Shipped"/>
    <s v="TRK90883858"/>
    <n v="7"/>
    <s v="No Coupon"/>
    <s v="Email"/>
    <n v="2517.36"/>
  </r>
  <r>
    <s v="ORD200873"/>
    <x v="258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s v="Phone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495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s v="Tablet"/>
    <n v="2"/>
    <n v="448.85"/>
    <s v="386 Main St"/>
    <s v="Credit Card"/>
    <s v="Pending"/>
    <s v="TRK48000034"/>
    <n v="6"/>
    <s v="No Coupon"/>
    <s v="Instagram"/>
    <n v="897.7"/>
  </r>
  <r>
    <s v="ORD200882"/>
    <x v="164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s v="Chair"/>
    <n v="1"/>
    <n v="595.54"/>
    <s v="817 Main St"/>
    <s v="Gift Card"/>
    <s v="Shipped"/>
    <s v="TRK52137079"/>
    <n v="4"/>
    <s v="No Coupon"/>
    <s v="Instagram"/>
    <n v="595.54"/>
  </r>
  <r>
    <s v="ORD200885"/>
    <x v="158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s v="Phone"/>
    <n v="1"/>
    <n v="460.13"/>
    <s v="792 Main St"/>
    <s v="Credit Card"/>
    <s v="Returned"/>
    <s v="TRK22046456"/>
    <n v="1"/>
    <s v="No Coupon"/>
    <s v="Google"/>
    <n v="460.13"/>
  </r>
  <r>
    <s v="ORD200887"/>
    <x v="36"/>
    <s v="C67932"/>
    <s v="Chair"/>
    <n v="3"/>
    <n v="171.66"/>
    <s v="857 Main St"/>
    <s v="Debit Card"/>
    <s v="Delivered"/>
    <s v="TRK88547534"/>
    <n v="7"/>
    <s v="No Coupon"/>
    <s v="Google"/>
    <n v="514.98"/>
  </r>
  <r>
    <s v="ORD200888"/>
    <x v="572"/>
    <s v="C14427"/>
    <s v="Laptop"/>
    <n v="2"/>
    <n v="266.95"/>
    <s v="833 Main St"/>
    <s v="Credit Card"/>
    <s v="Pending"/>
    <s v="TRK58024529"/>
    <n v="3"/>
    <s v="No Coupon"/>
    <s v="Instagram"/>
    <n v="533.9"/>
  </r>
  <r>
    <s v="ORD200889"/>
    <x v="245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s v="Laptop"/>
    <n v="3"/>
    <n v="439.53"/>
    <s v="943 Main St"/>
    <s v="Debit Card"/>
    <s v="Pending"/>
    <s v="TRK85741716"/>
    <n v="5"/>
    <s v="No Coupon"/>
    <s v="Google"/>
    <n v="1318.59"/>
  </r>
  <r>
    <s v="ORD200891"/>
    <x v="433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s v="Monitor"/>
    <n v="3"/>
    <n v="158.37"/>
    <s v="742 Main St"/>
    <s v="Cash"/>
    <s v="Shipped"/>
    <s v="TRK66662528"/>
    <n v="6"/>
    <s v="No Coupon"/>
    <s v="Referral"/>
    <n v="475.11"/>
  </r>
  <r>
    <s v="ORD200899"/>
    <x v="577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s v="Laptop"/>
    <n v="5"/>
    <n v="73.83"/>
    <s v="991 Main St"/>
    <s v="Debit Card"/>
    <s v="Pending"/>
    <s v="TRK67342586"/>
    <n v="9"/>
    <s v="No Coupon"/>
    <s v="Instagram"/>
    <n v="369.15"/>
  </r>
  <r>
    <s v="ORD200901"/>
    <x v="578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s v="Monitor"/>
    <n v="4"/>
    <n v="180.25"/>
    <s v="813 Main St"/>
    <s v="Debit Card"/>
    <s v="Cancelled"/>
    <s v="TRK76712124"/>
    <n v="7"/>
    <s v="No Coupon"/>
    <s v="Facebook"/>
    <n v="721"/>
  </r>
  <r>
    <s v="ORD200903"/>
    <x v="209"/>
    <s v="C80868"/>
    <s v="Monitor"/>
    <n v="3"/>
    <n v="473.49"/>
    <s v="205 Main St"/>
    <s v="Credit Card"/>
    <s v="Pending"/>
    <s v="TRK56186636"/>
    <n v="7"/>
    <s v="No Coupon"/>
    <s v="Email"/>
    <n v="1420.47"/>
  </r>
  <r>
    <s v="ORD200904"/>
    <x v="580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s v="Monitor"/>
    <n v="1"/>
    <n v="62.12"/>
    <s v="141 Main St"/>
    <s v="Cash"/>
    <s v="Returned"/>
    <s v="TRK80175572"/>
    <n v="2"/>
    <s v="No Coupon"/>
    <s v="Email"/>
    <n v="62.12"/>
  </r>
  <r>
    <s v="ORD200907"/>
    <x v="548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s v="Printer"/>
    <n v="5"/>
    <n v="578.83000000000004"/>
    <s v="165 Main St"/>
    <s v="Cash"/>
    <s v="Returned"/>
    <s v="TRK13928455"/>
    <n v="6"/>
    <s v="No Coupon"/>
    <s v="Referral"/>
    <n v="2894.15"/>
  </r>
  <r>
    <s v="ORD200917"/>
    <x v="588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s v="Laptop"/>
    <n v="5"/>
    <n v="368.25"/>
    <s v="706 Main St"/>
    <s v="Online"/>
    <s v="Delivered"/>
    <s v="TRK18250450"/>
    <n v="5"/>
    <s v="No Coupon"/>
    <s v="Instagram"/>
    <n v="1841.25"/>
  </r>
  <r>
    <s v="ORD200919"/>
    <x v="492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s v="Tablet"/>
    <n v="2"/>
    <n v="428.09"/>
    <s v="978 Main St"/>
    <s v="Credit Card"/>
    <s v="Returned"/>
    <s v="TRK98110407"/>
    <n v="6"/>
    <s v="No Coupon"/>
    <s v="Instagram"/>
    <n v="856.18"/>
  </r>
  <r>
    <s v="ORD200921"/>
    <x v="528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9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s v="Tablet"/>
    <n v="2"/>
    <n v="536.25"/>
    <s v="553 Main St"/>
    <s v="Debit Card"/>
    <s v="Pending"/>
    <s v="TRK71803414"/>
    <n v="3"/>
    <s v="No Coupon"/>
    <s v="Email"/>
    <n v="1072.5"/>
  </r>
  <r>
    <s v="ORD200930"/>
    <x v="393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s v="Monitor"/>
    <n v="2"/>
    <n v="394.16"/>
    <s v="255 Main St"/>
    <s v="Online"/>
    <s v="Shipped"/>
    <s v="TRK43718093"/>
    <n v="2"/>
    <s v="No Coupon"/>
    <s v="Referral"/>
    <n v="788.32"/>
  </r>
  <r>
    <s v="ORD200934"/>
    <x v="565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s v="Tablet"/>
    <n v="1"/>
    <n v="479.76"/>
    <s v="882 Main St"/>
    <s v="Credit Card"/>
    <s v="Pending"/>
    <s v="TRK56070470"/>
    <n v="1"/>
    <s v="No Coupon"/>
    <s v="Email"/>
    <n v="479.76"/>
  </r>
  <r>
    <s v="ORD200943"/>
    <x v="14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s v="Phone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576"/>
    <s v="C55778"/>
    <s v="Desk"/>
    <n v="5"/>
    <n v="110.38"/>
    <s v="319 Main St"/>
    <s v="Cash"/>
    <s v="Pending"/>
    <s v="TRK93797108"/>
    <n v="10"/>
    <s v="No Coupon"/>
    <s v="Referral"/>
    <n v="551.9"/>
  </r>
  <r>
    <s v="ORD200950"/>
    <x v="583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s v="Monitor"/>
    <n v="3"/>
    <n v="503.39"/>
    <s v="225 Main St"/>
    <s v="Online"/>
    <s v="Pending"/>
    <s v="TRK45303393"/>
    <n v="5"/>
    <s v="No Coupon"/>
    <s v="Facebook"/>
    <n v="1510.17"/>
  </r>
  <r>
    <s v="ORD200953"/>
    <x v="6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s v="Phone"/>
    <n v="1"/>
    <n v="601.36"/>
    <s v="532 Main St"/>
    <s v="Online"/>
    <s v="Shipped"/>
    <s v="TRK81178598"/>
    <n v="1"/>
    <s v="No Coupon"/>
    <s v="Facebook"/>
    <n v="601.36"/>
  </r>
  <r>
    <s v="ORD200962"/>
    <x v="605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s v="Desk"/>
    <n v="5"/>
    <n v="266.77999999999997"/>
    <s v="274 Main St"/>
    <s v="Gift Card"/>
    <s v="Cancelled"/>
    <s v="TRK52088168"/>
    <n v="5"/>
    <s v="No Coupon"/>
    <s v="Email"/>
    <n v="1333.9"/>
  </r>
  <r>
    <s v="ORD200975"/>
    <x v="419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s v="Printer"/>
    <n v="4"/>
    <n v="107.49"/>
    <s v="993 Main St"/>
    <s v="Cash"/>
    <s v="Delivered"/>
    <s v="TRK61047536"/>
    <n v="5"/>
    <s v="No Coupon"/>
    <s v="Google"/>
    <n v="429.96"/>
  </r>
  <r>
    <s v="ORD200979"/>
    <x v="546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s v="Printer"/>
    <n v="2"/>
    <n v="253.68"/>
    <s v="122 Main St"/>
    <s v="Gift Card"/>
    <s v="Shipped"/>
    <s v="TRK19554327"/>
    <n v="6"/>
    <s v="No Coupon"/>
    <s v="Referral"/>
    <n v="507.36"/>
  </r>
  <r>
    <s v="ORD201002"/>
    <x v="619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s v="Printer"/>
    <n v="3"/>
    <n v="392.85"/>
    <s v="426 Main St"/>
    <s v="Credit Card"/>
    <s v="Returned"/>
    <s v="TRK11448295"/>
    <n v="6"/>
    <s v="No Coupon"/>
    <s v="Google"/>
    <n v="1178.55"/>
  </r>
  <r>
    <s v="ORD201006"/>
    <x v="582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s v="Phone"/>
    <n v="2"/>
    <n v="478.36"/>
    <s v="654 Main St"/>
    <s v="Online"/>
    <s v="Shipped"/>
    <s v="TRK22271097"/>
    <n v="3"/>
    <s v="No Coupon"/>
    <s v="Google"/>
    <n v="956.72"/>
  </r>
  <r>
    <s v="ORD201012"/>
    <x v="623"/>
    <s v="C84570"/>
    <s v="Printer"/>
    <n v="4"/>
    <n v="30.05"/>
    <s v="301 Main St"/>
    <s v="Online"/>
    <s v="Returned"/>
    <s v="TRK12551882"/>
    <n v="6"/>
    <s v="No Coupon"/>
    <s v="Facebook"/>
    <n v="120.2"/>
  </r>
  <r>
    <s v="ORD201013"/>
    <x v="624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s v="Laptop"/>
    <n v="3"/>
    <n v="182.48"/>
    <s v="209 Main St"/>
    <s v="Cash"/>
    <s v="Delivered"/>
    <s v="TRK20703086"/>
    <n v="3"/>
    <s v="No Coupon"/>
    <s v="Instagram"/>
    <n v="547.43999999999994"/>
  </r>
  <r>
    <s v="ORD201019"/>
    <x v="61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s v="Laptop"/>
    <n v="5"/>
    <n v="233.67"/>
    <s v="291 Main St"/>
    <s v="Cash"/>
    <s v="Shipped"/>
    <s v="TRK32059025"/>
    <n v="10"/>
    <s v="No Coupon"/>
    <s v="Referral"/>
    <n v="1168.3499999999999"/>
  </r>
  <r>
    <s v="ORD201024"/>
    <x v="412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s v="Laptop"/>
    <n v="4"/>
    <n v="554.83000000000004"/>
    <s v="983 Main St"/>
    <s v="Cash"/>
    <s v="Returned"/>
    <s v="TRK77377373"/>
    <n v="6"/>
    <s v="No Coupon"/>
    <s v="Google"/>
    <n v="2219.3200000000002"/>
  </r>
  <r>
    <s v="ORD201028"/>
    <x v="96"/>
    <s v="C60042"/>
    <s v="Desk"/>
    <n v="4"/>
    <n v="440.31"/>
    <s v="610 Main St"/>
    <s v="Cash"/>
    <s v="Cancelled"/>
    <s v="TRK84651559"/>
    <n v="6"/>
    <s v="No Coupon"/>
    <s v="Instagram"/>
    <n v="1761.24"/>
  </r>
  <r>
    <s v="ORD201029"/>
    <x v="627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s v="Laptop"/>
    <n v="4"/>
    <n v="506.11"/>
    <s v="911 Main St"/>
    <s v="Cash"/>
    <s v="Cancelled"/>
    <s v="TRK97732085"/>
    <n v="5"/>
    <s v="No Coupon"/>
    <s v="Referral"/>
    <n v="2024.44"/>
  </r>
  <r>
    <s v="ORD201036"/>
    <x v="583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s v="Tablet"/>
    <n v="3"/>
    <n v="362.53"/>
    <s v="422 Main St"/>
    <s v="Debit Card"/>
    <s v="Returned"/>
    <s v="TRK28969024"/>
    <n v="5"/>
    <s v="No Coupon"/>
    <s v="Facebook"/>
    <n v="1087.5899999999999"/>
  </r>
  <r>
    <s v="ORD201039"/>
    <x v="164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s v="Tablet"/>
    <n v="2"/>
    <n v="179.96"/>
    <s v="675 Main St"/>
    <s v="Gift Card"/>
    <s v="Shipped"/>
    <s v="TRK94346739"/>
    <n v="5"/>
    <s v="No Coupon"/>
    <s v="Instagram"/>
    <n v="359.92"/>
  </r>
  <r>
    <s v="ORD201044"/>
    <x v="450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s v="Laptop"/>
    <n v="5"/>
    <n v="316.39999999999998"/>
    <s v="671 Main St"/>
    <s v="Gift Card"/>
    <s v="Returned"/>
    <s v="TRK72012758"/>
    <n v="7"/>
    <s v="No Coupon"/>
    <s v="Email"/>
    <n v="1582"/>
  </r>
  <r>
    <s v="ORD201046"/>
    <x v="550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s v="Monitor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408"/>
    <s v="C60575"/>
    <s v="Desk"/>
    <n v="5"/>
    <n v="391.86"/>
    <s v="587 Main St"/>
    <s v="Credit Card"/>
    <s v="Shipped"/>
    <s v="TRK44468232"/>
    <n v="6"/>
    <s v="No Coupon"/>
    <s v="Instagram"/>
    <n v="1959.3"/>
  </r>
  <r>
    <s v="ORD201050"/>
    <x v="38"/>
    <s v="C70659"/>
    <s v="Laptop"/>
    <n v="5"/>
    <n v="69.7"/>
    <s v="722 Main St"/>
    <s v="Online"/>
    <s v="Returned"/>
    <s v="TRK49663597"/>
    <n v="9"/>
    <s v="No Coupon"/>
    <s v="Instagram"/>
    <n v="348.5"/>
  </r>
  <r>
    <s v="ORD201051"/>
    <x v="376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s v="Chair"/>
    <n v="5"/>
    <n v="85.52"/>
    <s v="301 Main St"/>
    <s v="Gift Card"/>
    <s v="Cancelled"/>
    <s v="TRK65149372"/>
    <n v="5"/>
    <s v="No Coupon"/>
    <s v="Facebook"/>
    <n v="427.6"/>
  </r>
  <r>
    <s v="ORD201063"/>
    <x v="83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s v="Phone"/>
    <n v="2"/>
    <n v="316.2"/>
    <s v="384 Main St"/>
    <s v="Online"/>
    <s v="Returned"/>
    <s v="TRK37426359"/>
    <n v="2"/>
    <s v="No Coupon"/>
    <s v="Instagram"/>
    <n v="632.4"/>
  </r>
  <r>
    <s v="ORD201068"/>
    <x v="24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s v="Monitor"/>
    <n v="1"/>
    <n v="454.23"/>
    <s v="255 Main St"/>
    <s v="Gift Card"/>
    <s v="Returned"/>
    <s v="TRK12518384"/>
    <n v="3"/>
    <s v="No Coupon"/>
    <s v="Facebook"/>
    <n v="454.23"/>
  </r>
  <r>
    <s v="ORD201070"/>
    <x v="605"/>
    <s v="C46873"/>
    <s v="Desk"/>
    <n v="4"/>
    <n v="491.29"/>
    <s v="496 Main St"/>
    <s v="Debit Card"/>
    <s v="Pending"/>
    <s v="TRK10926575"/>
    <n v="6"/>
    <s v="No Coupon"/>
    <s v="Email"/>
    <n v="1965.16"/>
  </r>
  <r>
    <s v="ORD201071"/>
    <x v="53"/>
    <s v="C94037"/>
    <s v="Phone"/>
    <n v="2"/>
    <n v="255.14"/>
    <s v="216 Main St"/>
    <s v="Cash"/>
    <s v="Shipped"/>
    <s v="TRK47536985"/>
    <n v="2"/>
    <s v="No Coupon"/>
    <s v="Google"/>
    <n v="510.28"/>
  </r>
  <r>
    <s v="ORD201072"/>
    <x v="297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s v="Tablet"/>
    <n v="4"/>
    <n v="362.06"/>
    <s v="294 Main St"/>
    <s v="Debit Card"/>
    <s v="Returned"/>
    <s v="TRK11107152"/>
    <n v="4"/>
    <s v="No Coupon"/>
    <s v="Facebook"/>
    <n v="1448.24"/>
  </r>
  <r>
    <s v="ORD201074"/>
    <x v="451"/>
    <s v="C21437"/>
    <s v="Phone"/>
    <n v="1"/>
    <n v="222.73"/>
    <s v="120 Main St"/>
    <s v="Online"/>
    <s v="Returned"/>
    <s v="TRK81624772"/>
    <n v="4"/>
    <s v="No Coupon"/>
    <s v="Google"/>
    <n v="222.73"/>
  </r>
  <r>
    <s v="ORD201075"/>
    <x v="169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s v="Laptop"/>
    <n v="4"/>
    <n v="686.61"/>
    <s v="176 Main St"/>
    <s v="Cash"/>
    <s v="Shipped"/>
    <s v="TRK52711973"/>
    <n v="6"/>
    <s v="No Coupon"/>
    <s v="Referral"/>
    <n v="2746.44"/>
  </r>
  <r>
    <s v="ORD201077"/>
    <x v="456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s v="Phone"/>
    <n v="5"/>
    <n v="634"/>
    <s v="144 Main St"/>
    <s v="Gift Card"/>
    <s v="Delivered"/>
    <s v="TRK99055909"/>
    <n v="8"/>
    <s v="No Coupon"/>
    <s v="Email"/>
    <n v="3170"/>
  </r>
  <r>
    <s v="ORD201080"/>
    <x v="325"/>
    <s v="C70613"/>
    <s v="Laptop"/>
    <n v="5"/>
    <n v="464.74"/>
    <s v="438 Main St"/>
    <s v="Gift Card"/>
    <s v="Delivered"/>
    <s v="TRK33140293"/>
    <n v="7"/>
    <s v="No Coupon"/>
    <s v="Referral"/>
    <n v="2323.6999999999998"/>
  </r>
  <r>
    <s v="ORD201081"/>
    <x v="453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s v="Tablet"/>
    <n v="2"/>
    <n v="599.74"/>
    <s v="440 Main St"/>
    <s v="Gift Card"/>
    <s v="Shipped"/>
    <s v="TRK66967997"/>
    <n v="2"/>
    <s v="No Coupon"/>
    <s v="Instagram"/>
    <n v="1199.48"/>
  </r>
  <r>
    <s v="ORD201090"/>
    <x v="641"/>
    <s v="C61225"/>
    <s v="Monitor"/>
    <n v="2"/>
    <n v="650.25"/>
    <s v="996 Main St"/>
    <s v="Gift Card"/>
    <s v="Returned"/>
    <s v="TRK37022954"/>
    <n v="6"/>
    <s v="No Coupon"/>
    <s v="Instagram"/>
    <n v="1300.5"/>
  </r>
  <r>
    <s v="ORD201091"/>
    <x v="192"/>
    <s v="C16400"/>
    <s v="Laptop"/>
    <n v="3"/>
    <n v="209.48"/>
    <s v="123 Main St"/>
    <s v="Debit Card"/>
    <s v="Pending"/>
    <s v="TRK57771859"/>
    <n v="4"/>
    <s v="No Coupon"/>
    <s v="Email"/>
    <n v="628.43999999999994"/>
  </r>
  <r>
    <s v="ORD201092"/>
    <x v="531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s v="Tablet"/>
    <n v="2"/>
    <n v="464.92"/>
    <s v="782 Main St"/>
    <s v="Debit Card"/>
    <s v="Returned"/>
    <s v="TRK49482923"/>
    <n v="2"/>
    <s v="No Coupon"/>
    <s v="Facebook"/>
    <n v="929.84"/>
  </r>
  <r>
    <s v="ORD201097"/>
    <x v="645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s v="Monitor"/>
    <n v="4"/>
    <n v="255.86"/>
    <s v="155 Main St"/>
    <s v="Credit Card"/>
    <s v="Delivered"/>
    <s v="TRK91653000"/>
    <n v="7"/>
    <s v="No Coupon"/>
    <s v="Email"/>
    <n v="1023.44"/>
  </r>
  <r>
    <s v="ORD201099"/>
    <x v="556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s v="Chair"/>
    <n v="4"/>
    <n v="347.17"/>
    <s v="997 Main St"/>
    <s v="Debit Card"/>
    <s v="Shipped"/>
    <s v="TRK86192984"/>
    <n v="8"/>
    <s v="No Coupon"/>
    <s v="Instagram"/>
    <n v="1388.68"/>
  </r>
  <r>
    <s v="ORD201103"/>
    <x v="648"/>
    <s v="C90292"/>
    <s v="Laptop"/>
    <n v="4"/>
    <n v="276.32"/>
    <s v="129 Main St"/>
    <s v="Online"/>
    <s v="Delivered"/>
    <s v="TRK26270357"/>
    <n v="5"/>
    <s v="No Coupon"/>
    <s v="Google"/>
    <n v="1105.28"/>
  </r>
  <r>
    <s v="ORD201104"/>
    <x v="568"/>
    <s v="C17075"/>
    <s v="Tablet"/>
    <n v="4"/>
    <n v="314.76"/>
    <s v="850 Main St"/>
    <s v="Online"/>
    <s v="Shipped"/>
    <s v="TRK63547510"/>
    <n v="8"/>
    <s v="No Coupon"/>
    <s v="Instagram"/>
    <n v="1259.04"/>
  </r>
  <r>
    <s v="ORD201105"/>
    <x v="649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s v="Desk"/>
    <n v="4"/>
    <n v="209.99"/>
    <s v="168 Main St"/>
    <s v="Cash"/>
    <s v="Delivered"/>
    <s v="TRK80819053"/>
    <n v="8"/>
    <s v="No Coupon"/>
    <s v="Google"/>
    <n v="839.96"/>
  </r>
  <r>
    <s v="ORD201114"/>
    <x v="653"/>
    <s v="C55164"/>
    <s v="Tablet"/>
    <n v="3"/>
    <n v="659.88"/>
    <s v="609 Main St"/>
    <s v="Gift Card"/>
    <s v="Cancelled"/>
    <s v="TRK79610967"/>
    <n v="3"/>
    <s v="No Coupon"/>
    <s v="Google"/>
    <n v="1979.64"/>
  </r>
  <r>
    <s v="ORD201115"/>
    <x v="126"/>
    <s v="C70426"/>
    <s v="Laptop"/>
    <n v="2"/>
    <n v="336.32"/>
    <s v="562 Main St"/>
    <s v="Online"/>
    <s v="Returned"/>
    <s v="TRK89687816"/>
    <n v="3"/>
    <s v="No Coupon"/>
    <s v="Google"/>
    <n v="672.64"/>
  </r>
  <r>
    <s v="ORD201116"/>
    <x v="612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s v="Phone"/>
    <n v="3"/>
    <n v="251.48"/>
    <s v="359 Main St"/>
    <s v="Credit Card"/>
    <s v="Returned"/>
    <s v="TRK99102265"/>
    <n v="4"/>
    <s v="No Coupon"/>
    <s v="Email"/>
    <n v="754.43999999999994"/>
  </r>
  <r>
    <s v="ORD201119"/>
    <x v="167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s v="Tablet"/>
    <n v="1"/>
    <n v="195.86"/>
    <s v="267 Main St"/>
    <s v="Online"/>
    <s v="Pending"/>
    <s v="TRK82416295"/>
    <n v="3"/>
    <s v="No Coupon"/>
    <s v="Facebook"/>
    <n v="195.86"/>
  </r>
  <r>
    <s v="ORD201121"/>
    <x v="65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s v="Monitor"/>
    <n v="5"/>
    <n v="678.19"/>
    <s v="766 Main St"/>
    <s v="Online"/>
    <s v="Returned"/>
    <s v="TRK32496970"/>
    <n v="8"/>
    <s v="No Coupon"/>
    <s v="Facebook"/>
    <n v="3390.95"/>
  </r>
  <r>
    <s v="ORD201123"/>
    <x v="655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s v="Chair"/>
    <n v="4"/>
    <n v="576.87"/>
    <s v="888 Main St"/>
    <s v="Gift Card"/>
    <s v="Returned"/>
    <s v="TRK40245983"/>
    <n v="5"/>
    <s v="No Coupon"/>
    <s v="Instagram"/>
    <n v="2307.48"/>
  </r>
  <r>
    <s v="ORD201125"/>
    <x v="504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s v="Desk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627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656"/>
    <s v="C11998"/>
    <s v="Chair"/>
    <n v="3"/>
    <n v="498.66"/>
    <s v="382 Main St"/>
    <s v="Cash"/>
    <s v="Cancelled"/>
    <s v="TRK26707221"/>
    <n v="6"/>
    <s v="No Coupon"/>
    <s v="Email"/>
    <n v="1495.98"/>
  </r>
  <r>
    <s v="ORD201142"/>
    <x v="1"/>
    <s v="C23405"/>
    <s v="Phone"/>
    <n v="4"/>
    <n v="695.1"/>
    <s v="484 Main St"/>
    <s v="Debit Card"/>
    <s v="Returned"/>
    <s v="TRK83678708"/>
    <n v="8"/>
    <s v="No Coupon"/>
    <s v="Email"/>
    <n v="2780.4"/>
  </r>
  <r>
    <s v="ORD201143"/>
    <x v="659"/>
    <s v="C41132"/>
    <s v="Chair"/>
    <n v="1"/>
    <n v="381.61"/>
    <s v="114 Main St"/>
    <s v="Debit Card"/>
    <s v="Pending"/>
    <s v="TRK51040137"/>
    <n v="5"/>
    <s v="No Coupon"/>
    <s v="Email"/>
    <n v="381.61"/>
  </r>
  <r>
    <s v="ORD201144"/>
    <x v="223"/>
    <s v="C88463"/>
    <s v="Desk"/>
    <n v="5"/>
    <n v="507.94"/>
    <s v="292 Main St"/>
    <s v="Online"/>
    <s v="Cancelled"/>
    <s v="TRK88749996"/>
    <n v="9"/>
    <s v="No Coupon"/>
    <s v="Facebook"/>
    <n v="2539.6999999999998"/>
  </r>
  <r>
    <s v="ORD201145"/>
    <x v="275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s v="Chair"/>
    <n v="2"/>
    <n v="608.04"/>
    <s v="962 Main St"/>
    <s v="Cash"/>
    <s v="Cancelled"/>
    <s v="TRK69804304"/>
    <n v="4"/>
    <s v="No Coupon"/>
    <s v="Google"/>
    <n v="1216.08"/>
  </r>
  <r>
    <s v="ORD201152"/>
    <x v="576"/>
    <s v="C25162"/>
    <s v="Tablet"/>
    <n v="2"/>
    <n v="344.18"/>
    <s v="533 Main St"/>
    <s v="Credit Card"/>
    <s v="Shipped"/>
    <s v="TRK42183078"/>
    <n v="7"/>
    <s v="No Coupon"/>
    <s v="Referral"/>
    <n v="688.36"/>
  </r>
  <r>
    <s v="ORD201153"/>
    <x v="393"/>
    <s v="C98317"/>
    <s v="Monitor"/>
    <n v="4"/>
    <n v="696.71"/>
    <s v="276 Main St"/>
    <s v="Debit Card"/>
    <s v="Shipped"/>
    <s v="TRK37172138"/>
    <n v="4"/>
    <s v="No Coupon"/>
    <s v="Instagram"/>
    <n v="2786.84"/>
  </r>
  <r>
    <s v="ORD201154"/>
    <x v="113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s v="Laptop"/>
    <n v="4"/>
    <n v="690.78"/>
    <s v="980 Main St"/>
    <s v="Credit Card"/>
    <s v="Shipped"/>
    <s v="TRK98234737"/>
    <n v="9"/>
    <s v="No Coupon"/>
    <s v="Referral"/>
    <n v="2763.12"/>
  </r>
  <r>
    <s v="ORD201157"/>
    <x v="382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s v="Desk"/>
    <n v="4"/>
    <n v="466.7"/>
    <s v="874 Main St"/>
    <s v="Debit Card"/>
    <s v="Returned"/>
    <s v="TRK60955607"/>
    <n v="8"/>
    <s v="No Coupon"/>
    <s v="Instagram"/>
    <n v="1866.8"/>
  </r>
  <r>
    <s v="ORD201160"/>
    <x v="333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s v="Chair"/>
    <n v="3"/>
    <n v="223.79"/>
    <s v="617 Main St"/>
    <s v="Debit Card"/>
    <s v="Pending"/>
    <s v="TRK63460217"/>
    <n v="3"/>
    <s v="No Coupon"/>
    <s v="Google"/>
    <n v="671.37"/>
  </r>
  <r>
    <s v="ORD201166"/>
    <x v="4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s v="Desk"/>
    <n v="3"/>
    <n v="131.96"/>
    <s v="745 Main St"/>
    <s v="Credit Card"/>
    <s v="Pending"/>
    <s v="TRK32550359"/>
    <n v="8"/>
    <s v="No Coupon"/>
    <s v="Instagram"/>
    <n v="395.88"/>
  </r>
  <r>
    <s v="ORD201173"/>
    <x v="449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s v="Laptop"/>
    <n v="1"/>
    <n v="204.08"/>
    <s v="979 Main St"/>
    <s v="Gift Card"/>
    <s v="Returned"/>
    <s v="TRK86297895"/>
    <n v="4"/>
    <s v="No Coupon"/>
    <s v="Google"/>
    <n v="204.08"/>
  </r>
  <r>
    <s v="ORD201185"/>
    <x v="665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s v="Tablet"/>
    <n v="5"/>
    <n v="389.22"/>
    <s v="149 Main St"/>
    <s v="Cash"/>
    <s v="Cancelled"/>
    <s v="TRK60856682"/>
    <n v="7"/>
    <s v="No Coupon"/>
    <s v="Referral"/>
    <n v="1946.1"/>
  </r>
  <r>
    <s v="ORD201190"/>
    <x v="647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s v="Chair"/>
    <n v="3"/>
    <n v="432.85"/>
    <s v="999 Main St"/>
    <s v="Online"/>
    <s v="Pending"/>
    <s v="TRK16240916"/>
    <n v="4"/>
    <s v="No Coupon"/>
    <s v="Instagram"/>
    <n v="1298.55"/>
  </r>
  <r>
    <s v="ORD201193"/>
    <x v="667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s v="Monitor"/>
    <n v="2"/>
    <n v="662.53"/>
    <s v="778 Main St"/>
    <s v="Online"/>
    <s v="Cancelled"/>
    <s v="TRK69207593"/>
    <n v="5"/>
    <s v="No Coupon"/>
    <s v="Facebook"/>
    <n v="1325.06"/>
  </r>
  <r>
    <s v="ORD201197"/>
    <x v="669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x v="9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x v="16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x v="18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x v="0"/>
    <n v="5"/>
    <n v="224"/>
    <s v="273 Main St"/>
    <s v="Cash"/>
    <s v="Returned"/>
    <s v="TRK59101365"/>
    <n v="9"/>
    <s v="SAVE10"/>
    <s v="Google"/>
    <n v="1120"/>
  </r>
  <r>
    <s v="ORD200020"/>
    <x v="2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x v="22"/>
    <s v="C34416"/>
    <x v="0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x v="27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x v="28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x v="31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x v="32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x v="35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x v="41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x v="42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x v="47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x v="54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x v="58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x v="64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x v="66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x v="68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x v="7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x v="71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x v="72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x v="73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x v="76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x v="78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x v="79"/>
    <s v="C29314"/>
    <x v="0"/>
    <n v="2"/>
    <n v="394.3"/>
    <s v="496 Main St"/>
    <s v="Cash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x v="81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x v="86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x v="91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x v="93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x v="94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x v="9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x v="95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x v="97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x v="98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x v="102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x v="117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x v="118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x v="119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x v="96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x v="125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x v="5"/>
    <n v="2"/>
    <n v="199.7"/>
    <s v="583 Main St"/>
    <s v="Cash"/>
    <s v="Pending"/>
    <s v="TRK17354894"/>
    <n v="4"/>
    <s v="No Coupon"/>
    <s v="Email"/>
    <n v="399.4"/>
  </r>
  <r>
    <s v="ORD200135"/>
    <x v="128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x v="131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x v="133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x v="128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x v="17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x v="138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x v="141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x v="143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x v="146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x v="151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x v="153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x v="158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x v="166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x v="168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x v="169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x v="17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x v="61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x v="18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x v="182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x v="1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x v="162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x v="192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s v="Cash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x v="121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x v="2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x v="57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x v="208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x v="21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x v="6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x v="225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x v="226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x v="28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x v="232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x v="237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x v="178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x v="251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x v="223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x v="253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x v="255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x v="223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x v="26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x v="264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x v="266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x v="66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x v="271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x v="272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x v="277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x v="36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x v="282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x v="283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x v="287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x v="1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x v="294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x v="296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x v="297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x v="3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x v="302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x v="303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x v="305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x v="31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x v="313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x v="7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x v="315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x v="322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x v="326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x v="176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x v="331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x v="336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x v="337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x v="281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x v="83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x v="344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x v="345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x v="348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x v="349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x v="32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x v="338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x v="144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x v="46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x v="156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x v="171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x v="18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x v="355"/>
    <s v="C16776"/>
    <x v="5"/>
    <n v="2"/>
    <n v="160"/>
    <s v="854 Main St"/>
    <s v="Cash"/>
    <s v="Pending"/>
    <s v="TRK12860600"/>
    <n v="4"/>
    <s v="SAVE10"/>
    <s v="Instagram"/>
    <n v="320"/>
  </r>
  <r>
    <s v="ORD200449"/>
    <x v="360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x v="361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x v="4"/>
    <n v="1"/>
    <n v="75.78"/>
    <s v="581 Main St"/>
    <s v="Cash"/>
    <s v="Pending"/>
    <s v="TRK20863987"/>
    <n v="5"/>
    <s v="SAVE10"/>
    <s v="Google"/>
    <n v="75.78"/>
  </r>
  <r>
    <s v="ORD200453"/>
    <x v="201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x v="354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x v="68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x v="202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x v="372"/>
    <s v="C25149"/>
    <x v="2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x v="375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x v="379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x v="381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x v="383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x v="314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x v="219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x v="284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x v="392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x v="397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x v="398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x v="402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x v="322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x v="404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x v="6"/>
    <n v="2"/>
    <n v="46.5"/>
    <s v="837 Main St"/>
    <s v="Cash"/>
    <s v="Returned"/>
    <s v="TRK63526023"/>
    <n v="7"/>
    <s v="WINTER15"/>
    <s v="Google"/>
    <n v="93"/>
  </r>
  <r>
    <s v="ORD200527"/>
    <x v="406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x v="367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x v="120"/>
    <s v="C47365"/>
    <x v="5"/>
    <n v="2"/>
    <n v="41"/>
    <s v="369 Main St"/>
    <s v="Online"/>
    <s v="Delivered"/>
    <s v="TRK42207882"/>
    <n v="7"/>
    <s v="No Coupon"/>
    <s v="Email"/>
    <n v="82"/>
  </r>
  <r>
    <s v="ORD200533"/>
    <x v="409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x v="411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x v="413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x v="414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x v="417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x v="423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x v="425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x v="426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x v="171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x v="29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x v="434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x v="55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x v="436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x v="438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x v="441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x v="249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x v="443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x v="445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x v="3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x v="448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x v="451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x v="36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x v="456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x v="459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x v="424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x v="46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x v="379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x v="463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x v="467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x v="169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x v="469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x v="2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x v="477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x v="369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x v="116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x v="468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x v="71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x v="171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x v="127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x v="489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x v="363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x v="492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x v="494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x v="167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x v="19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x v="276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s v="Cash"/>
    <s v="Shipped"/>
    <s v="TRK45025840"/>
    <n v="6"/>
    <s v="WINTER15"/>
    <s v="Email"/>
    <n v="474.25"/>
  </r>
  <r>
    <s v="ORD200698"/>
    <x v="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x v="498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x v="5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x v="502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x v="64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x v="51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x v="456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x v="513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x v="516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x v="185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x v="519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x v="326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x v="27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x v="454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x v="529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x v="355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x v="53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x v="52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x v="164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x v="198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x v="531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x v="2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x v="537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x v="208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x v="539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x v="379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x v="338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x v="542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x v="398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x v="212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x v="553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x v="29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x v="166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x v="318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x v="555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x v="106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x v="249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x v="559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x v="416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x v="38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x v="562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x v="537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x v="258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x v="495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x v="164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x v="158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x v="36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x v="572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x v="245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x v="433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x v="577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x v="578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x v="209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x v="58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x v="548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x v="588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x v="492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x v="528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x v="91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x v="393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x v="565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x v="14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x v="576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x v="583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x v="6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x v="605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x v="419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x v="546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x v="619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x v="582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x v="623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x v="624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x v="616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x v="412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x v="96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x v="627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x v="583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x v="164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x v="45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x v="55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x v="408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x v="38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x v="376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x v="83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x v="24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x v="605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x v="53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x v="297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x v="451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x v="169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x v="456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x v="325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x v="453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x v="641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x v="192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x v="531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x v="645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x v="556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x v="648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x v="568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x v="649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x v="653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x v="126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x v="612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x v="167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x v="654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x v="655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x v="504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x v="627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x v="656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x v="1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x v="659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x v="223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x v="275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x v="576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x v="393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x v="113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x v="382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x v="333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x v="48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x v="449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x v="665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x v="647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x v="667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x v="669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A1E3D-3647-4E7C-B34C-827D5C3AAAF5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O5:P18" firstHeaderRow="1" firstDataRow="1" firstDataCol="1"/>
  <pivotFields count="17">
    <pivotField showAll="0"/>
    <pivotField axis="axisRow"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dataField="1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FBBB9-75A8-4D6D-8219-6DDC904BD31E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4:L12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02C16-1F72-4936-9E1F-3FEDC975F501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4:G9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C5623-3337-4B7C-A7BF-75661DC7775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7">
    <pivotField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166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1D8F-1A52-4922-B94A-88E4D78344E6}">
  <dimension ref="A1:N1201"/>
  <sheetViews>
    <sheetView tabSelected="1" workbookViewId="0">
      <selection activeCell="H6" sqref="H6"/>
    </sheetView>
  </sheetViews>
  <sheetFormatPr defaultRowHeight="14.5" x14ac:dyDescent="0.35"/>
  <cols>
    <col min="1" max="1" width="10.54296875" bestFit="1" customWidth="1"/>
    <col min="2" max="2" width="11.726562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4" t="s">
        <v>0</v>
      </c>
      <c r="B1" s="15" t="s">
        <v>1</v>
      </c>
      <c r="C1" s="14" t="s">
        <v>2</v>
      </c>
      <c r="D1" s="14" t="s">
        <v>3</v>
      </c>
      <c r="E1" s="14" t="s">
        <v>4</v>
      </c>
      <c r="F1" s="16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7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conditionalFormatting sqref="N1:N1048576">
    <cfRule type="cellIs" dxfId="0" priority="1" operator="greaterThan">
      <formula>3330.4075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O3" sqref="O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5438-2DD6-48AB-8FF9-B0674AE5470D}">
  <dimension ref="A1:O17"/>
  <sheetViews>
    <sheetView workbookViewId="0">
      <selection activeCell="I10" sqref="I10"/>
    </sheetView>
  </sheetViews>
  <sheetFormatPr defaultRowHeight="14.5" x14ac:dyDescent="0.35"/>
  <cols>
    <col min="1" max="1" width="15" bestFit="1" customWidth="1"/>
    <col min="2" max="2" width="11.81640625" bestFit="1" customWidth="1"/>
    <col min="3" max="3" width="7.81640625" bestFit="1" customWidth="1"/>
    <col min="4" max="4" width="5.90625" bestFit="1" customWidth="1"/>
    <col min="5" max="5" width="10.1796875" bestFit="1" customWidth="1"/>
    <col min="7" max="7" width="10.90625" bestFit="1" customWidth="1"/>
    <col min="9" max="9" width="15.453125" bestFit="1" customWidth="1"/>
  </cols>
  <sheetData>
    <row r="1" spans="1:15" x14ac:dyDescent="0.35">
      <c r="A1" s="11" t="s">
        <v>4284</v>
      </c>
    </row>
    <row r="3" spans="1:15" x14ac:dyDescent="0.35">
      <c r="A3" s="5" t="s">
        <v>4285</v>
      </c>
      <c r="B3" s="5" t="s">
        <v>4286</v>
      </c>
      <c r="C3" s="5" t="s">
        <v>4287</v>
      </c>
      <c r="D3" s="5" t="s">
        <v>4288</v>
      </c>
      <c r="I3" s="9" t="s">
        <v>4323</v>
      </c>
    </row>
    <row r="4" spans="1:15" x14ac:dyDescent="0.35">
      <c r="A4" s="5" t="s">
        <v>4</v>
      </c>
      <c r="B4">
        <f>AVERAGE('Clean Data'!E2:E1201)</f>
        <v>2.9458333333333333</v>
      </c>
      <c r="C4">
        <f>MEDIAN('Clean Data'!E2:E1201)</f>
        <v>3</v>
      </c>
      <c r="D4">
        <f>COUNT('Clean Data'!E2:E1201)</f>
        <v>1200</v>
      </c>
    </row>
    <row r="5" spans="1:15" x14ac:dyDescent="0.35">
      <c r="A5" s="5" t="s">
        <v>4289</v>
      </c>
      <c r="B5">
        <f>AVERAGE('Clean Data'!F2:F1201)</f>
        <v>356.41275000000007</v>
      </c>
      <c r="C5">
        <f>MEDIAN('Clean Data'!F2:F1201)</f>
        <v>364.21</v>
      </c>
      <c r="D5">
        <f>COUNT('Clean Data'!F2:F1201)</f>
        <v>1200</v>
      </c>
      <c r="H5" s="5">
        <v>1</v>
      </c>
      <c r="I5" s="12" t="s">
        <v>4324</v>
      </c>
      <c r="J5" s="12"/>
      <c r="K5" s="12"/>
      <c r="L5" s="12"/>
      <c r="M5" s="12"/>
      <c r="N5" s="12"/>
      <c r="O5" s="12"/>
    </row>
    <row r="6" spans="1:15" x14ac:dyDescent="0.35">
      <c r="A6" s="5" t="s">
        <v>4290</v>
      </c>
      <c r="B6">
        <f>AVERAGE('Clean Data'!N2:N1201)</f>
        <v>1053.9683000000005</v>
      </c>
      <c r="C6">
        <f>MEDIAN('Clean Data'!N2:N1201)</f>
        <v>823.61500000000001</v>
      </c>
      <c r="D6">
        <f>COUNT('Clean Data'!N2:N1201)</f>
        <v>1200</v>
      </c>
      <c r="H6" s="5">
        <v>2</v>
      </c>
      <c r="I6" s="12" t="s">
        <v>4325</v>
      </c>
      <c r="J6" s="12"/>
      <c r="K6" s="12"/>
      <c r="L6" s="12"/>
      <c r="M6" s="12"/>
      <c r="N6" s="12"/>
      <c r="O6" s="12"/>
    </row>
    <row r="7" spans="1:15" x14ac:dyDescent="0.35">
      <c r="A7" s="5" t="s">
        <v>4291</v>
      </c>
      <c r="B7">
        <f>AVERAGE('Clean Data'!K2:K1201)</f>
        <v>5.4850000000000003</v>
      </c>
      <c r="C7">
        <f>MEDIAN('Clean Data'!K2:K1201)</f>
        <v>5</v>
      </c>
      <c r="D7">
        <f>COUNT('Clean Data'!K2:K1201)</f>
        <v>1200</v>
      </c>
      <c r="H7" s="5">
        <v>3</v>
      </c>
      <c r="I7" s="12" t="s">
        <v>4326</v>
      </c>
      <c r="J7" s="12"/>
      <c r="K7" s="12"/>
      <c r="L7" s="12"/>
      <c r="M7" s="12"/>
      <c r="N7" s="12"/>
      <c r="O7" s="12"/>
    </row>
    <row r="8" spans="1:15" x14ac:dyDescent="0.35">
      <c r="H8" s="5">
        <v>4</v>
      </c>
      <c r="I8" s="12" t="s">
        <v>4327</v>
      </c>
      <c r="J8" s="12"/>
      <c r="K8" s="12"/>
      <c r="L8" s="12"/>
      <c r="M8" s="12"/>
      <c r="N8" s="12"/>
      <c r="O8" s="12"/>
    </row>
    <row r="9" spans="1:15" x14ac:dyDescent="0.35">
      <c r="H9" s="5">
        <v>5</v>
      </c>
      <c r="I9" s="12" t="s">
        <v>4328</v>
      </c>
      <c r="J9" s="12"/>
      <c r="K9" s="12"/>
      <c r="L9" s="12"/>
      <c r="M9" s="12"/>
      <c r="N9" s="12"/>
      <c r="O9" s="12"/>
    </row>
    <row r="10" spans="1:15" x14ac:dyDescent="0.35">
      <c r="A10" s="10" t="s">
        <v>4313</v>
      </c>
      <c r="B10" s="5" t="s">
        <v>4314</v>
      </c>
      <c r="E10" s="5" t="s">
        <v>4321</v>
      </c>
      <c r="G10" s="5" t="s">
        <v>4322</v>
      </c>
      <c r="I10" s="12" t="s">
        <v>4329</v>
      </c>
    </row>
    <row r="11" spans="1:15" x14ac:dyDescent="0.35">
      <c r="A11" s="5" t="s">
        <v>4315</v>
      </c>
      <c r="B11">
        <f>_xlfn.QUARTILE.INC('Clean Data'!E2:E1201,1)</f>
        <v>2</v>
      </c>
      <c r="E11">
        <f>_xlfn.QUARTILE.INC('Clean Data'!F2:F1201,1)</f>
        <v>186.0625</v>
      </c>
      <c r="G11">
        <f>_xlfn.QUARTILE.INC('Clean Data'!N2:N1201,1)</f>
        <v>410.52</v>
      </c>
    </row>
    <row r="12" spans="1:15" x14ac:dyDescent="0.35">
      <c r="A12" s="5" t="s">
        <v>4316</v>
      </c>
      <c r="B12">
        <f>_xlfn.QUARTILE.INC('Clean Data'!E2:E1201,3)</f>
        <v>4</v>
      </c>
      <c r="E12">
        <f>_xlfn.QUARTILE.INC('Clean Data'!F2:F1201,3)</f>
        <v>521.56999999999994</v>
      </c>
      <c r="G12">
        <f>_xlfn.QUARTILE.INC('Clean Data'!N2:N1201,3)</f>
        <v>1578.4749999999999</v>
      </c>
    </row>
    <row r="13" spans="1:15" x14ac:dyDescent="0.35">
      <c r="A13" s="5" t="s">
        <v>4317</v>
      </c>
      <c r="B13">
        <f>B12-B11</f>
        <v>2</v>
      </c>
      <c r="E13">
        <f>E12-E11</f>
        <v>335.50749999999994</v>
      </c>
      <c r="G13">
        <f>G12-G11</f>
        <v>1167.9549999999999</v>
      </c>
    </row>
    <row r="14" spans="1:15" x14ac:dyDescent="0.35">
      <c r="A14" s="5" t="s">
        <v>4318</v>
      </c>
      <c r="B14">
        <f>B11-1.5*B13</f>
        <v>-1</v>
      </c>
      <c r="E14">
        <f>E11-1.5*E13</f>
        <v>-317.1987499999999</v>
      </c>
      <c r="G14">
        <f>G11-1.5*G13</f>
        <v>-1341.4124999999999</v>
      </c>
    </row>
    <row r="15" spans="1:15" x14ac:dyDescent="0.35">
      <c r="A15" s="5" t="s">
        <v>4319</v>
      </c>
      <c r="B15">
        <f>B12+1.5*B13</f>
        <v>7</v>
      </c>
      <c r="E15">
        <f>E12+1.5*E13</f>
        <v>1024.8312499999997</v>
      </c>
      <c r="G15">
        <f>G12+1.5*G13</f>
        <v>3330.4074999999998</v>
      </c>
    </row>
    <row r="17" spans="1:7" x14ac:dyDescent="0.35">
      <c r="A17" s="5" t="s">
        <v>4320</v>
      </c>
      <c r="B17">
        <f>COUNTIF('Clean Data'!E2:E1201,"&gt;7")</f>
        <v>0</v>
      </c>
      <c r="E17">
        <f>COUNTIF('Clean Data'!F2:F1201,"&gt;1024.8313")</f>
        <v>0</v>
      </c>
      <c r="G17">
        <f>COUNTIF('Clean Data'!N2:N1201,"&gt;3330.4075")</f>
        <v>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AD17-5018-4AD5-B734-9C08979E7B9B}">
  <dimension ref="A2:P18"/>
  <sheetViews>
    <sheetView zoomScale="90" zoomScaleNormal="80" workbookViewId="0">
      <selection activeCell="D7" sqref="D7"/>
    </sheetView>
  </sheetViews>
  <sheetFormatPr defaultRowHeight="14.5" x14ac:dyDescent="0.35"/>
  <cols>
    <col min="1" max="1" width="12.36328125" bestFit="1" customWidth="1"/>
    <col min="2" max="2" width="15.54296875" bestFit="1" customWidth="1"/>
    <col min="5" max="5" width="13.36328125" bestFit="1" customWidth="1"/>
    <col min="6" max="6" width="12.36328125" bestFit="1" customWidth="1"/>
    <col min="7" max="7" width="15.54296875" bestFit="1" customWidth="1"/>
    <col min="11" max="11" width="13.90625" bestFit="1" customWidth="1"/>
    <col min="12" max="12" width="15.90625" bestFit="1" customWidth="1"/>
    <col min="15" max="15" width="12.90625" bestFit="1" customWidth="1"/>
    <col min="16" max="16" width="14.81640625" bestFit="1" customWidth="1"/>
  </cols>
  <sheetData>
    <row r="2" spans="1:16" x14ac:dyDescent="0.35">
      <c r="E2" s="13" t="s">
        <v>4292</v>
      </c>
    </row>
    <row r="3" spans="1:16" x14ac:dyDescent="0.35">
      <c r="A3" s="6" t="s">
        <v>4293</v>
      </c>
      <c r="B3" t="s">
        <v>4295</v>
      </c>
    </row>
    <row r="4" spans="1:16" x14ac:dyDescent="0.35">
      <c r="A4" s="7" t="s">
        <v>4296</v>
      </c>
      <c r="B4" s="4">
        <v>124313.23000000005</v>
      </c>
      <c r="F4" s="6" t="s">
        <v>4293</v>
      </c>
      <c r="G4" t="s">
        <v>4295</v>
      </c>
      <c r="K4" s="6" t="s">
        <v>4293</v>
      </c>
      <c r="L4" t="s">
        <v>4295</v>
      </c>
    </row>
    <row r="5" spans="1:16" x14ac:dyDescent="0.35">
      <c r="A5" s="7" t="s">
        <v>4297</v>
      </c>
      <c r="B5" s="4">
        <v>112344.77999999998</v>
      </c>
      <c r="F5" s="7" t="s">
        <v>4309</v>
      </c>
      <c r="G5" s="4">
        <v>360498.94000000029</v>
      </c>
      <c r="K5" s="7" t="s">
        <v>2406</v>
      </c>
      <c r="L5" s="4">
        <v>195620.11000000002</v>
      </c>
      <c r="O5" s="6" t="s">
        <v>4293</v>
      </c>
      <c r="P5" t="s">
        <v>4308</v>
      </c>
    </row>
    <row r="6" spans="1:16" x14ac:dyDescent="0.35">
      <c r="A6" s="7" t="s">
        <v>4298</v>
      </c>
      <c r="B6" s="4">
        <v>123840.92999999995</v>
      </c>
      <c r="F6" s="7" t="s">
        <v>4310</v>
      </c>
      <c r="G6" s="4">
        <v>414944.77000000048</v>
      </c>
      <c r="K6" s="7" t="s">
        <v>2409</v>
      </c>
      <c r="L6" s="4">
        <v>167459.93</v>
      </c>
      <c r="O6" s="7" t="s">
        <v>4296</v>
      </c>
      <c r="P6" s="8">
        <v>328</v>
      </c>
    </row>
    <row r="7" spans="1:16" x14ac:dyDescent="0.35">
      <c r="A7" s="7" t="s">
        <v>4299</v>
      </c>
      <c r="B7" s="4">
        <v>109186.05</v>
      </c>
      <c r="F7" s="7" t="s">
        <v>4311</v>
      </c>
      <c r="G7" s="4">
        <v>241449.49999999997</v>
      </c>
      <c r="K7" s="7" t="s">
        <v>2408</v>
      </c>
      <c r="L7" s="4">
        <v>192126.55999999994</v>
      </c>
      <c r="O7" s="7" t="s">
        <v>4297</v>
      </c>
      <c r="P7" s="8">
        <v>303</v>
      </c>
    </row>
    <row r="8" spans="1:16" x14ac:dyDescent="0.35">
      <c r="A8" s="7" t="s">
        <v>4300</v>
      </c>
      <c r="B8" s="4">
        <v>135142.59</v>
      </c>
      <c r="F8" s="7" t="s">
        <v>4312</v>
      </c>
      <c r="G8" s="4">
        <v>247868.74999999991</v>
      </c>
      <c r="K8" s="7" t="s">
        <v>2403</v>
      </c>
      <c r="L8" s="4">
        <v>175651.40999999997</v>
      </c>
      <c r="O8" s="7" t="s">
        <v>4298</v>
      </c>
      <c r="P8" s="8">
        <v>367</v>
      </c>
    </row>
    <row r="9" spans="1:16" x14ac:dyDescent="0.35">
      <c r="A9" s="7" t="s">
        <v>4301</v>
      </c>
      <c r="B9" s="4">
        <v>170616.13000000006</v>
      </c>
      <c r="F9" s="7" t="s">
        <v>4294</v>
      </c>
      <c r="G9" s="4">
        <v>1264761.9600000007</v>
      </c>
      <c r="K9" s="7" t="s">
        <v>2404</v>
      </c>
      <c r="L9" s="4">
        <v>151722.39000000001</v>
      </c>
      <c r="O9" s="7" t="s">
        <v>4299</v>
      </c>
      <c r="P9" s="8">
        <v>320</v>
      </c>
    </row>
    <row r="10" spans="1:16" x14ac:dyDescent="0.35">
      <c r="A10" s="7" t="s">
        <v>4302</v>
      </c>
      <c r="B10" s="4">
        <v>85784.63999999997</v>
      </c>
      <c r="K10" s="7" t="s">
        <v>2407</v>
      </c>
      <c r="L10" s="4">
        <v>195612.60999999996</v>
      </c>
      <c r="O10" s="7" t="s">
        <v>4300</v>
      </c>
      <c r="P10" s="8">
        <v>356</v>
      </c>
    </row>
    <row r="11" spans="1:16" x14ac:dyDescent="0.35">
      <c r="A11" s="7" t="s">
        <v>4303</v>
      </c>
      <c r="B11" s="4">
        <v>86343.210000000036</v>
      </c>
      <c r="K11" s="7" t="s">
        <v>2405</v>
      </c>
      <c r="L11" s="4">
        <v>186568.95000000007</v>
      </c>
      <c r="O11" s="7" t="s">
        <v>4301</v>
      </c>
      <c r="P11" s="8">
        <v>458</v>
      </c>
    </row>
    <row r="12" spans="1:16" x14ac:dyDescent="0.35">
      <c r="A12" s="7" t="s">
        <v>4304</v>
      </c>
      <c r="B12" s="4">
        <v>69321.650000000023</v>
      </c>
      <c r="K12" s="7" t="s">
        <v>4294</v>
      </c>
      <c r="L12" s="4">
        <v>1264761.96</v>
      </c>
      <c r="O12" s="7" t="s">
        <v>4302</v>
      </c>
      <c r="P12" s="8">
        <v>243</v>
      </c>
    </row>
    <row r="13" spans="1:16" x14ac:dyDescent="0.35">
      <c r="A13" s="7" t="s">
        <v>4305</v>
      </c>
      <c r="B13" s="4">
        <v>89834.820000000022</v>
      </c>
      <c r="O13" s="7" t="s">
        <v>4303</v>
      </c>
      <c r="P13" s="8">
        <v>260</v>
      </c>
    </row>
    <row r="14" spans="1:16" x14ac:dyDescent="0.35">
      <c r="A14" s="7" t="s">
        <v>4306</v>
      </c>
      <c r="B14" s="4">
        <v>75493.430000000008</v>
      </c>
      <c r="O14" s="7" t="s">
        <v>4304</v>
      </c>
      <c r="P14" s="8">
        <v>208</v>
      </c>
    </row>
    <row r="15" spans="1:16" x14ac:dyDescent="0.35">
      <c r="A15" s="7" t="s">
        <v>4307</v>
      </c>
      <c r="B15" s="4">
        <v>82540.5</v>
      </c>
      <c r="O15" s="7" t="s">
        <v>4305</v>
      </c>
      <c r="P15" s="8">
        <v>241</v>
      </c>
    </row>
    <row r="16" spans="1:16" x14ac:dyDescent="0.35">
      <c r="A16" s="7" t="s">
        <v>4294</v>
      </c>
      <c r="B16" s="4">
        <v>1264761.96</v>
      </c>
      <c r="O16" s="7" t="s">
        <v>4306</v>
      </c>
      <c r="P16" s="8">
        <v>211</v>
      </c>
    </row>
    <row r="17" spans="15:16" x14ac:dyDescent="0.35">
      <c r="O17" s="7" t="s">
        <v>4307</v>
      </c>
      <c r="P17" s="8">
        <v>240</v>
      </c>
    </row>
    <row r="18" spans="15:16" x14ac:dyDescent="0.35">
      <c r="O18" s="7" t="s">
        <v>4294</v>
      </c>
      <c r="P18" s="8">
        <v>3535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Original Data</vt:lpstr>
      <vt:lpstr>EDA Analysis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</dc:creator>
  <cp:lastModifiedBy>Ayman Qamar</cp:lastModifiedBy>
  <dcterms:created xsi:type="dcterms:W3CDTF">2025-06-21T13:19:12Z</dcterms:created>
  <dcterms:modified xsi:type="dcterms:W3CDTF">2026-09-06T14:05:01Z</dcterms:modified>
</cp:coreProperties>
</file>